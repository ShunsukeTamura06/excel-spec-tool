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設定" sheetId="2" state="visible" r:id="rId2"/>
    <sheet name="商品マスタ" sheetId="3" state="visible" r:id="rId3"/>
    <sheet name="日次売上" sheetId="4" state="visible" r:id="rId4"/>
    <sheet name="シナリオ計算" sheetId="5" state="visible" r:id="rId5"/>
    <sheet name="PivotByCategory" sheetId="6" state="visible" r:id="rId6"/>
    <sheet name="ダッシュボード" sheetId="7" state="visible" r:id="rId7"/>
    <sheet name="月次レポート" sheetId="8" state="visible" r:id="rId8"/>
  </sheets>
  <definedNames>
    <definedName name="商品マスタ">商品マスタ!$A$4:$E$23</definedName>
    <definedName name="税率">設定!$B$4</definedName>
    <definedName name="シナリオ">設定!$B$7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yyyy/mm/dd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1E3A8A"/>
      <sz val="18"/>
    </font>
    <font>
      <i val="1"/>
      <color rgb="006B7280"/>
      <sz val="9"/>
    </font>
    <font>
      <b val="1"/>
      <color rgb="004338CA"/>
      <sz val="11"/>
    </font>
    <font>
      <b val="1"/>
    </font>
    <font>
      <b val="1"/>
      <color rgb="00312E81"/>
      <sz val="14"/>
    </font>
    <font>
      <b val="1"/>
      <color rgb="00FFFFFF"/>
      <sz val="11"/>
    </font>
    <font>
      <b val="1"/>
      <color rgb="001E3A8A"/>
      <sz val="2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166" fontId="0" fillId="0" borderId="0" pivotButton="0" quotePrefix="0" xfId="0"/>
    <xf numFmtId="2" fontId="3" fillId="0" borderId="0" pivotButton="0" quotePrefix="0" xfId="0"/>
    <xf numFmtId="167" fontId="0" fillId="0" borderId="0" pivotButton="0" quotePrefix="0" xfId="0"/>
    <xf numFmtId="3" fontId="4" fillId="0" borderId="0" pivotButton="0" quotePrefix="0" xfId="0"/>
    <xf numFmtId="3" fontId="1" fillId="0" borderId="0" pivotButton="0" quotePrefix="0" xfId="0"/>
    <xf numFmtId="1" fontId="1" fillId="0" borderId="0" pivotButton="0" quotePrefix="0" xfId="0"/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カテゴリ別売上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'ダッシュボード'!B8</f>
            </strRef>
          </tx>
          <spPr>
            <a:ln>
              <a:prstDash val="solid"/>
            </a:ln>
          </spPr>
          <cat>
            <numRef>
              <f>'ダッシュボード'!$A$9:$A$12</f>
            </numRef>
          </cat>
          <val>
            <numRef>
              <f>'ダッシュボード'!$B$9:$B$12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カテゴリ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担当者別売上</a:t>
            </a:r>
          </a:p>
        </rich>
      </tx>
    </title>
    <plotArea>
      <lineChart>
        <grouping val="standard"/>
        <ser>
          <idx val="0"/>
          <order val="0"/>
          <tx>
            <strRef>
              <f>'ダッシュボード'!B17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'ダッシュボード'!$A$18:$A$22</f>
            </numRef>
          </cat>
          <val>
            <numRef>
              <f>'ダッシュボード'!$B$18:$B$22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ducts" displayName="T_Products" ref="A3:E23" headerRowCount="1">
  <autoFilter ref="A3:E23"/>
  <tableColumns count="5">
    <tableColumn id="1" name="商品コード"/>
    <tableColumn id="2" name="商品名"/>
    <tableColumn id="3" name="カテゴリ"/>
    <tableColumn id="4" name="単価"/>
    <tableColumn id="5" name="在庫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ales" displayName="T_Sales" ref="A3:F227" headerRowCount="1">
  <autoFilter ref="A3:F227"/>
  <tableColumns count="6">
    <tableColumn id="1" name="日付"/>
    <tableColumn id="2" name="商品コード"/>
    <tableColumn id="3" name="カテゴリ"/>
    <tableColumn id="4" name="数量"/>
    <tableColumn id="5" name="売上金額"/>
    <tableColumn id="6" name="担当者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小売店の月次運営ブック</t>
        </is>
      </c>
    </row>
    <row r="3">
      <c r="A3" s="2" t="inlineStr">
        <is>
          <t>このブックは Excelツール改修支援AI のデモ用サンプルです。</t>
        </is>
      </c>
    </row>
    <row r="5">
      <c r="A5" s="3" t="inlineStr">
        <is>
          <t>シート構成</t>
        </is>
      </c>
    </row>
    <row r="7">
      <c r="A7" s="4" t="inlineStr">
        <is>
          <t>設定</t>
        </is>
      </c>
      <c r="B7" t="inlineStr">
        <is>
          <t>税率・為替・期間・シナリオを管理。Worksheet_Change で再計算</t>
        </is>
      </c>
    </row>
    <row r="8">
      <c r="A8" s="4" t="inlineStr">
        <is>
          <t>商品マスタ</t>
        </is>
      </c>
      <c r="B8" t="inlineStr">
        <is>
          <t>20 商品の在庫・単価・カテゴリ。Excel テーブル化</t>
        </is>
      </c>
    </row>
    <row r="9">
      <c r="A9" s="4" t="inlineStr">
        <is>
          <t>日次売上</t>
        </is>
      </c>
      <c r="B9" t="inlineStr">
        <is>
          <t>30 日 × 商品の売上ログ (ピボットの元データ)</t>
        </is>
      </c>
    </row>
    <row r="10">
      <c r="A10" s="4" t="inlineStr">
        <is>
          <t>シナリオ計算</t>
        </is>
      </c>
      <c r="B10" t="inlineStr">
        <is>
          <t>シナリオに応じた予測。INDIRECT / OFFSET を使用</t>
        </is>
      </c>
    </row>
    <row r="11">
      <c r="A11" s="4" t="inlineStr">
        <is>
          <t>ダッシュボード</t>
        </is>
      </c>
      <c r="B11" t="inlineStr">
        <is>
          <t>KPI と棒グラフ・折れ線。月次更新ボタン (VBA)</t>
        </is>
      </c>
    </row>
    <row r="12">
      <c r="A12" s="4" t="inlineStr">
        <is>
          <t>PivotByCategory</t>
        </is>
      </c>
      <c r="B12" t="inlineStr">
        <is>
          <t>カテゴリ別売上集計 (SUMIFS 擬似ピボット)</t>
        </is>
      </c>
    </row>
    <row r="13">
      <c r="A13" s="4" t="inlineStr">
        <is>
          <t>月次レポート</t>
        </is>
      </c>
      <c r="B13" t="inlineStr">
        <is>
          <t>印刷向け整形出力</t>
        </is>
      </c>
    </row>
    <row r="16">
      <c r="A16" s="3" t="inlineStr">
        <is>
          <t>改修例 (チャットで試せる質問)</t>
        </is>
      </c>
    </row>
    <row r="17">
      <c r="A17" t="inlineStr">
        <is>
          <t>・「税率を 10% から 12% に変えたとき、どこに波及しますか?」</t>
        </is>
      </c>
    </row>
    <row r="18">
      <c r="A18" t="inlineStr">
        <is>
          <t>・「カテゴリ『穀物』を 2 つに分割したい。どこを直す必要がありますか?」</t>
        </is>
      </c>
    </row>
    <row r="19">
      <c r="A19" t="inlineStr">
        <is>
          <t>・「日次売上を 60 日分に拡張したらシナリオ計算は追従しますか?」</t>
        </is>
      </c>
    </row>
    <row r="20">
      <c r="A20" t="inlineStr">
        <is>
          <t>・「INDIRECT を使っている箇所と、その実行時の参照先を一覧で」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" customWidth="1" min="4" max="4"/>
    <col width="14" customWidth="1" min="5" max="5"/>
    <col width="12" customWidth="1" min="6" max="6"/>
  </cols>
  <sheetData>
    <row r="1">
      <c r="A1" s="5" t="inlineStr">
        <is>
          <t>ブック設定</t>
        </is>
      </c>
    </row>
    <row r="3">
      <c r="A3" s="6" t="inlineStr">
        <is>
          <t>項目</t>
        </is>
      </c>
      <c r="B3" s="6" t="inlineStr">
        <is>
          <t>値</t>
        </is>
      </c>
      <c r="C3" s="6" t="inlineStr">
        <is>
          <t>備考</t>
        </is>
      </c>
      <c r="E3" s="3" t="inlineStr">
        <is>
          <t>シナリオ別係数</t>
        </is>
      </c>
    </row>
    <row r="4">
      <c r="A4" s="4" t="inlineStr">
        <is>
          <t>税率</t>
        </is>
      </c>
      <c r="B4" s="7" t="n">
        <v>0.1</v>
      </c>
      <c r="C4" t="inlineStr">
        <is>
          <t>消費税率</t>
        </is>
      </c>
      <c r="E4" s="6" t="inlineStr">
        <is>
          <t>シナリオ</t>
        </is>
      </c>
      <c r="F4" s="6" t="inlineStr">
        <is>
          <t>売上係数</t>
        </is>
      </c>
    </row>
    <row r="5">
      <c r="A5" s="4" t="inlineStr">
        <is>
          <t>為替 (USD)</t>
        </is>
      </c>
      <c r="B5" s="8" t="n">
        <v>150</v>
      </c>
      <c r="C5" t="inlineStr">
        <is>
          <t>USD → JPY (月平均)</t>
        </is>
      </c>
      <c r="E5" s="4" t="inlineStr">
        <is>
          <t>楽観</t>
        </is>
      </c>
      <c r="F5" s="9" t="n">
        <v>1.15</v>
      </c>
    </row>
    <row r="6">
      <c r="A6" s="4" t="inlineStr">
        <is>
          <t>集計期間</t>
        </is>
      </c>
      <c r="B6" t="inlineStr">
        <is>
          <t>標準</t>
        </is>
      </c>
      <c r="C6" t="inlineStr">
        <is>
          <t>30日 / 標準 / 60日</t>
        </is>
      </c>
      <c r="E6" s="4" t="inlineStr">
        <is>
          <t>標準</t>
        </is>
      </c>
      <c r="F6" s="9" t="n">
        <v>1</v>
      </c>
    </row>
    <row r="7">
      <c r="A7" s="4" t="inlineStr">
        <is>
          <t>シナリオ</t>
        </is>
      </c>
      <c r="B7" t="inlineStr">
        <is>
          <t>標準</t>
        </is>
      </c>
      <c r="C7" t="inlineStr">
        <is>
          <t>楽観 / 標準 / 悲観 (シナリオ計算が参照)</t>
        </is>
      </c>
      <c r="E7" s="4" t="inlineStr">
        <is>
          <t>悲観</t>
        </is>
      </c>
      <c r="F7" s="9" t="n">
        <v>0.85</v>
      </c>
    </row>
    <row r="8">
      <c r="A8" s="4" t="inlineStr">
        <is>
          <t>最終更新</t>
        </is>
      </c>
      <c r="B8" t="inlineStr">
        <is>
          <t>(未更新)</t>
        </is>
      </c>
      <c r="C8" t="inlineStr">
        <is>
          <t>Workbook_Open で自動更新</t>
        </is>
      </c>
    </row>
    <row r="9">
      <c r="E9" s="2" t="inlineStr">
        <is>
          <t>(シナリオ計算!D2 が INDIRECT("設定!F"&amp;MATCH(...)) で引く)</t>
        </is>
      </c>
    </row>
  </sheetData>
  <mergeCells count="1">
    <mergeCell ref="A1:C1"/>
  </mergeCells>
  <dataValidations count="2">
    <dataValidation sqref="B6" showDropDown="0" showInputMessage="0" showErrorMessage="1" allowBlank="0" type="list">
      <formula1>"30日,標準,60日"</formula1>
    </dataValidation>
    <dataValidation sqref="B7" showDropDown="0" showInputMessage="1" showErrorMessage="1" allowBlank="0" promptTitle="シナリオ切替" prompt="シナリオ計算シートが INDIRECT でこの値を参照します" type="list">
      <formula1>"楽観,標準,悲観"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商品マスタ</t>
        </is>
      </c>
    </row>
    <row r="3">
      <c r="A3" s="10" t="inlineStr">
        <is>
          <t>商品コード</t>
        </is>
      </c>
      <c r="B3" s="10" t="inlineStr">
        <is>
          <t>商品名</t>
        </is>
      </c>
      <c r="C3" s="10" t="inlineStr">
        <is>
          <t>カテゴリ</t>
        </is>
      </c>
      <c r="D3" s="10" t="inlineStr">
        <is>
          <t>単価</t>
        </is>
      </c>
      <c r="E3" s="10" t="inlineStr">
        <is>
          <t>在庫数</t>
        </is>
      </c>
    </row>
    <row r="4">
      <c r="A4" t="inlineStr">
        <is>
          <t>P001</t>
        </is>
      </c>
      <c r="B4" t="inlineStr">
        <is>
          <t>白米 5kg</t>
        </is>
      </c>
      <c r="C4" t="inlineStr">
        <is>
          <t>穀物</t>
        </is>
      </c>
      <c r="D4" s="8" t="n">
        <v>1980</v>
      </c>
      <c r="E4" s="8" t="n">
        <v>120</v>
      </c>
    </row>
    <row r="5">
      <c r="A5" t="inlineStr">
        <is>
          <t>P002</t>
        </is>
      </c>
      <c r="B5" t="inlineStr">
        <is>
          <t>玄米 5kg</t>
        </is>
      </c>
      <c r="C5" t="inlineStr">
        <is>
          <t>穀物</t>
        </is>
      </c>
      <c r="D5" s="8" t="n">
        <v>2480</v>
      </c>
      <c r="E5" s="8" t="n">
        <v>60</v>
      </c>
    </row>
    <row r="6">
      <c r="A6" t="inlineStr">
        <is>
          <t>P003</t>
        </is>
      </c>
      <c r="B6" t="inlineStr">
        <is>
          <t>もち米 2kg</t>
        </is>
      </c>
      <c r="C6" t="inlineStr">
        <is>
          <t>穀物</t>
        </is>
      </c>
      <c r="D6" s="8" t="n">
        <v>1280</v>
      </c>
      <c r="E6" s="8" t="n">
        <v>40</v>
      </c>
    </row>
    <row r="7">
      <c r="A7" t="inlineStr">
        <is>
          <t>P004</t>
        </is>
      </c>
      <c r="B7" t="inlineStr">
        <is>
          <t>雑穀ミックス 1kg</t>
        </is>
      </c>
      <c r="C7" t="inlineStr">
        <is>
          <t>穀物</t>
        </is>
      </c>
      <c r="D7" s="8" t="n">
        <v>1580</v>
      </c>
      <c r="E7" s="8" t="n">
        <v>90</v>
      </c>
    </row>
    <row r="8">
      <c r="A8" t="inlineStr">
        <is>
          <t>P005</t>
        </is>
      </c>
      <c r="B8" t="inlineStr">
        <is>
          <t>押し麦 800g</t>
        </is>
      </c>
      <c r="C8" t="inlineStr">
        <is>
          <t>穀物</t>
        </is>
      </c>
      <c r="D8" s="8" t="n">
        <v>780</v>
      </c>
      <c r="E8" s="8" t="n">
        <v>150</v>
      </c>
    </row>
    <row r="9">
      <c r="A9" t="inlineStr">
        <is>
          <t>P006</t>
        </is>
      </c>
      <c r="B9" t="inlineStr">
        <is>
          <t>オートミール 500g</t>
        </is>
      </c>
      <c r="C9" t="inlineStr">
        <is>
          <t>穀物</t>
        </is>
      </c>
      <c r="D9" s="8" t="n">
        <v>680</v>
      </c>
      <c r="E9" s="8" t="n">
        <v>200</v>
      </c>
    </row>
    <row r="10">
      <c r="A10" t="inlineStr">
        <is>
          <t>P007</t>
        </is>
      </c>
      <c r="B10" t="inlineStr">
        <is>
          <t>黒米 500g</t>
        </is>
      </c>
      <c r="C10" t="inlineStr">
        <is>
          <t>穀物</t>
        </is>
      </c>
      <c r="D10" s="8" t="n">
        <v>1180</v>
      </c>
      <c r="E10" s="8" t="n">
        <v>25</v>
      </c>
    </row>
    <row r="11">
      <c r="A11" t="inlineStr">
        <is>
          <t>P008</t>
        </is>
      </c>
      <c r="B11" t="inlineStr">
        <is>
          <t>赤米 500g</t>
        </is>
      </c>
      <c r="C11" t="inlineStr">
        <is>
          <t>穀物</t>
        </is>
      </c>
      <c r="D11" s="8" t="n">
        <v>1280</v>
      </c>
      <c r="E11" s="8" t="n">
        <v>30</v>
      </c>
    </row>
    <row r="12">
      <c r="A12" t="inlineStr">
        <is>
          <t>P009</t>
        </is>
      </c>
      <c r="B12" t="inlineStr">
        <is>
          <t>ハト麦 300g</t>
        </is>
      </c>
      <c r="C12" t="inlineStr">
        <is>
          <t>穀物</t>
        </is>
      </c>
      <c r="D12" s="8" t="n">
        <v>980</v>
      </c>
      <c r="E12" s="8" t="n">
        <v>45</v>
      </c>
    </row>
    <row r="13">
      <c r="A13" t="inlineStr">
        <is>
          <t>P010</t>
        </is>
      </c>
      <c r="B13" t="inlineStr">
        <is>
          <t>古代米セット</t>
        </is>
      </c>
      <c r="C13" t="inlineStr">
        <is>
          <t>穀物</t>
        </is>
      </c>
      <c r="D13" s="8" t="n">
        <v>2880</v>
      </c>
      <c r="E13" s="8" t="n">
        <v>15</v>
      </c>
    </row>
    <row r="14">
      <c r="A14" t="inlineStr">
        <is>
          <t>D001</t>
        </is>
      </c>
      <c r="B14" t="inlineStr">
        <is>
          <t>緑茶 200g</t>
        </is>
      </c>
      <c r="C14" t="inlineStr">
        <is>
          <t>飲料</t>
        </is>
      </c>
      <c r="D14" s="8" t="n">
        <v>980</v>
      </c>
      <c r="E14" s="8" t="n">
        <v>80</v>
      </c>
    </row>
    <row r="15">
      <c r="A15" t="inlineStr">
        <is>
          <t>D002</t>
        </is>
      </c>
      <c r="B15" t="inlineStr">
        <is>
          <t>ほうじ茶 150g</t>
        </is>
      </c>
      <c r="C15" t="inlineStr">
        <is>
          <t>飲料</t>
        </is>
      </c>
      <c r="D15" s="8" t="n">
        <v>880</v>
      </c>
      <c r="E15" s="8" t="n">
        <v>70</v>
      </c>
    </row>
    <row r="16">
      <c r="A16" t="inlineStr">
        <is>
          <t>D003</t>
        </is>
      </c>
      <c r="B16" t="inlineStr">
        <is>
          <t>玄米茶 200g</t>
        </is>
      </c>
      <c r="C16" t="inlineStr">
        <is>
          <t>飲料</t>
        </is>
      </c>
      <c r="D16" s="8" t="n">
        <v>1080</v>
      </c>
      <c r="E16" s="8" t="n">
        <v>55</v>
      </c>
    </row>
    <row r="17">
      <c r="A17" t="inlineStr">
        <is>
          <t>D004</t>
        </is>
      </c>
      <c r="B17" t="inlineStr">
        <is>
          <t>ルイボスティー 100g</t>
        </is>
      </c>
      <c r="C17" t="inlineStr">
        <is>
          <t>飲料</t>
        </is>
      </c>
      <c r="D17" s="8" t="n">
        <v>1480</v>
      </c>
      <c r="E17" s="8" t="n">
        <v>30</v>
      </c>
    </row>
    <row r="18">
      <c r="A18" t="inlineStr">
        <is>
          <t>D005</t>
        </is>
      </c>
      <c r="B18" t="inlineStr">
        <is>
          <t>麦茶パック 30個</t>
        </is>
      </c>
      <c r="C18" t="inlineStr">
        <is>
          <t>飲料</t>
        </is>
      </c>
      <c r="D18" s="8" t="n">
        <v>580</v>
      </c>
      <c r="E18" s="8" t="n">
        <v>100</v>
      </c>
    </row>
    <row r="19">
      <c r="A19" t="inlineStr">
        <is>
          <t>S001</t>
        </is>
      </c>
      <c r="B19" t="inlineStr">
        <is>
          <t>海苔詰合せ</t>
        </is>
      </c>
      <c r="C19" t="inlineStr">
        <is>
          <t>乾物</t>
        </is>
      </c>
      <c r="D19" s="8" t="n">
        <v>1980</v>
      </c>
      <c r="E19" s="8" t="n">
        <v>18</v>
      </c>
    </row>
    <row r="20">
      <c r="A20" t="inlineStr">
        <is>
          <t>S002</t>
        </is>
      </c>
      <c r="B20" t="inlineStr">
        <is>
          <t>鰹節 削り 80g</t>
        </is>
      </c>
      <c r="C20" t="inlineStr">
        <is>
          <t>乾物</t>
        </is>
      </c>
      <c r="D20" s="8" t="n">
        <v>1280</v>
      </c>
      <c r="E20" s="8" t="n">
        <v>35</v>
      </c>
    </row>
    <row r="21">
      <c r="A21" t="inlineStr">
        <is>
          <t>S003</t>
        </is>
      </c>
      <c r="B21" t="inlineStr">
        <is>
          <t>煮干し 150g</t>
        </is>
      </c>
      <c r="C21" t="inlineStr">
        <is>
          <t>乾物</t>
        </is>
      </c>
      <c r="D21" s="8" t="n">
        <v>980</v>
      </c>
      <c r="E21" s="8" t="n">
        <v>42</v>
      </c>
    </row>
    <row r="22">
      <c r="A22" t="inlineStr">
        <is>
          <t>C001</t>
        </is>
      </c>
      <c r="B22" t="inlineStr">
        <is>
          <t>ごま油 200ml</t>
        </is>
      </c>
      <c r="C22" t="inlineStr">
        <is>
          <t>調味料</t>
        </is>
      </c>
      <c r="D22" s="8" t="n">
        <v>780</v>
      </c>
      <c r="E22" s="8" t="n">
        <v>60</v>
      </c>
    </row>
    <row r="23">
      <c r="A23" t="inlineStr">
        <is>
          <t>C002</t>
        </is>
      </c>
      <c r="B23" t="inlineStr">
        <is>
          <t>本みりん 500ml</t>
        </is>
      </c>
      <c r="C23" t="inlineStr">
        <is>
          <t>調味料</t>
        </is>
      </c>
      <c r="D23" s="8" t="n">
        <v>980</v>
      </c>
      <c r="E23" s="8" t="n">
        <v>48</v>
      </c>
    </row>
  </sheetData>
  <mergeCells count="1">
    <mergeCell ref="A1:E1"/>
  </mergeCells>
  <conditionalFormatting sqref="E4:E23">
    <cfRule type="cellIs" priority="1" operator="lessThan" dxfId="0">
      <formula>30</formula>
    </cfRule>
  </conditionalFormatting>
  <conditionalFormatting sqref="D4:D23">
    <cfRule type="colorScale" priority="2">
      <colorScale>
        <cfvo type="min"/>
        <cfvo type="percentile" val="50"/>
        <cfvo type="max"/>
        <color rgb="00ECFCCB"/>
        <color rgb="00FDE68A"/>
        <color rgb="00FCA5A5"/>
      </colorScale>
    </cfRule>
  </conditionalFormatting>
  <dataValidations count="1">
    <dataValidation sqref="C4:C23" showDropDown="0" showInputMessage="0" showErrorMessage="0" allowBlank="0" type="list">
      <formula1>"穀物,飲料,乾物,調味料"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5" t="inlineStr">
        <is>
          <t>日次売上ログ</t>
        </is>
      </c>
    </row>
    <row r="3">
      <c r="A3" s="10" t="inlineStr">
        <is>
          <t>日付</t>
        </is>
      </c>
      <c r="B3" s="10" t="inlineStr">
        <is>
          <t>商品コード</t>
        </is>
      </c>
      <c r="C3" s="10" t="inlineStr">
        <is>
          <t>カテゴリ</t>
        </is>
      </c>
      <c r="D3" s="10" t="inlineStr">
        <is>
          <t>数量</t>
        </is>
      </c>
      <c r="E3" s="10" t="inlineStr">
        <is>
          <t>売上金額</t>
        </is>
      </c>
      <c r="F3" s="10" t="inlineStr">
        <is>
          <t>担当者</t>
        </is>
      </c>
    </row>
    <row r="4">
      <c r="A4" s="11" t="n">
        <v>46143</v>
      </c>
      <c r="B4" t="inlineStr">
        <is>
          <t>D004</t>
        </is>
      </c>
      <c r="C4" t="inlineStr">
        <is>
          <t>飲料</t>
        </is>
      </c>
      <c r="D4" s="8" t="n">
        <v>1</v>
      </c>
      <c r="E4" s="8" t="n">
        <v>1480</v>
      </c>
      <c r="F4" t="inlineStr">
        <is>
          <t>鈴木</t>
        </is>
      </c>
    </row>
    <row r="5">
      <c r="A5" s="11" t="n">
        <v>46143</v>
      </c>
      <c r="B5" t="inlineStr">
        <is>
          <t>D002</t>
        </is>
      </c>
      <c r="C5" t="inlineStr">
        <is>
          <t>飲料</t>
        </is>
      </c>
      <c r="D5" s="8" t="n">
        <v>9</v>
      </c>
      <c r="E5" s="8" t="n">
        <v>7920</v>
      </c>
      <c r="F5" t="inlineStr">
        <is>
          <t>佐藤</t>
        </is>
      </c>
    </row>
    <row r="6">
      <c r="A6" s="11" t="n">
        <v>46143</v>
      </c>
      <c r="B6" t="inlineStr">
        <is>
          <t>D003</t>
        </is>
      </c>
      <c r="C6" t="inlineStr">
        <is>
          <t>飲料</t>
        </is>
      </c>
      <c r="D6" s="8" t="n">
        <v>6</v>
      </c>
      <c r="E6" s="8" t="n">
        <v>6480</v>
      </c>
      <c r="F6" t="inlineStr">
        <is>
          <t>佐藤</t>
        </is>
      </c>
    </row>
    <row r="7">
      <c r="A7" s="11" t="n">
        <v>46143</v>
      </c>
      <c r="B7" t="inlineStr">
        <is>
          <t>C001</t>
        </is>
      </c>
      <c r="C7" t="inlineStr">
        <is>
          <t>調味料</t>
        </is>
      </c>
      <c r="D7" s="8" t="n">
        <v>9</v>
      </c>
      <c r="E7" s="8" t="n">
        <v>7020</v>
      </c>
      <c r="F7" t="inlineStr">
        <is>
          <t>渡辺</t>
        </is>
      </c>
    </row>
    <row r="8">
      <c r="A8" s="11" t="n">
        <v>46143</v>
      </c>
      <c r="B8" t="inlineStr">
        <is>
          <t>C002</t>
        </is>
      </c>
      <c r="C8" t="inlineStr">
        <is>
          <t>調味料</t>
        </is>
      </c>
      <c r="D8" s="8" t="n">
        <v>2</v>
      </c>
      <c r="E8" s="8" t="n">
        <v>1960</v>
      </c>
      <c r="F8" t="inlineStr">
        <is>
          <t>高橋</t>
        </is>
      </c>
    </row>
    <row r="9">
      <c r="A9" s="11" t="n">
        <v>46143</v>
      </c>
      <c r="B9" t="inlineStr">
        <is>
          <t>P008</t>
        </is>
      </c>
      <c r="C9" t="inlineStr">
        <is>
          <t>穀物</t>
        </is>
      </c>
      <c r="D9" s="8" t="n">
        <v>5</v>
      </c>
      <c r="E9" s="8" t="n">
        <v>6400</v>
      </c>
      <c r="F9" t="inlineStr">
        <is>
          <t>田中</t>
        </is>
      </c>
    </row>
    <row r="10">
      <c r="A10" s="11" t="n">
        <v>46144</v>
      </c>
      <c r="B10" t="inlineStr">
        <is>
          <t>D004</t>
        </is>
      </c>
      <c r="C10" t="inlineStr">
        <is>
          <t>飲料</t>
        </is>
      </c>
      <c r="D10" s="8" t="n">
        <v>11</v>
      </c>
      <c r="E10" s="8" t="n">
        <v>16280</v>
      </c>
      <c r="F10" t="inlineStr">
        <is>
          <t>佐藤</t>
        </is>
      </c>
    </row>
    <row r="11">
      <c r="A11" s="11" t="n">
        <v>46144</v>
      </c>
      <c r="B11" t="inlineStr">
        <is>
          <t>P001</t>
        </is>
      </c>
      <c r="C11" t="inlineStr">
        <is>
          <t>穀物</t>
        </is>
      </c>
      <c r="D11" s="8" t="n">
        <v>1</v>
      </c>
      <c r="E11" s="8" t="n">
        <v>1980</v>
      </c>
      <c r="F11" t="inlineStr">
        <is>
          <t>渡辺</t>
        </is>
      </c>
    </row>
    <row r="12">
      <c r="A12" s="11" t="n">
        <v>46144</v>
      </c>
      <c r="B12" t="inlineStr">
        <is>
          <t>P010</t>
        </is>
      </c>
      <c r="C12" t="inlineStr">
        <is>
          <t>穀物</t>
        </is>
      </c>
      <c r="D12" s="8" t="n">
        <v>4</v>
      </c>
      <c r="E12" s="8" t="n">
        <v>11520</v>
      </c>
      <c r="F12" t="inlineStr">
        <is>
          <t>高橋</t>
        </is>
      </c>
    </row>
    <row r="13">
      <c r="A13" s="11" t="n">
        <v>46144</v>
      </c>
      <c r="B13" t="inlineStr">
        <is>
          <t>C001</t>
        </is>
      </c>
      <c r="C13" t="inlineStr">
        <is>
          <t>調味料</t>
        </is>
      </c>
      <c r="D13" s="8" t="n">
        <v>10</v>
      </c>
      <c r="E13" s="8" t="n">
        <v>7800</v>
      </c>
      <c r="F13" t="inlineStr">
        <is>
          <t>鈴木</t>
        </is>
      </c>
    </row>
    <row r="14">
      <c r="A14" s="11" t="n">
        <v>46144</v>
      </c>
      <c r="B14" t="inlineStr">
        <is>
          <t>C002</t>
        </is>
      </c>
      <c r="C14" t="inlineStr">
        <is>
          <t>調味料</t>
        </is>
      </c>
      <c r="D14" s="8" t="n">
        <v>3</v>
      </c>
      <c r="E14" s="8" t="n">
        <v>2940</v>
      </c>
      <c r="F14" t="inlineStr">
        <is>
          <t>渡辺</t>
        </is>
      </c>
    </row>
    <row r="15">
      <c r="A15" s="11" t="n">
        <v>46144</v>
      </c>
      <c r="B15" t="inlineStr">
        <is>
          <t>P008</t>
        </is>
      </c>
      <c r="C15" t="inlineStr">
        <is>
          <t>穀物</t>
        </is>
      </c>
      <c r="D15" s="8" t="n">
        <v>8</v>
      </c>
      <c r="E15" s="8" t="n">
        <v>10240</v>
      </c>
      <c r="F15" t="inlineStr">
        <is>
          <t>高橋</t>
        </is>
      </c>
    </row>
    <row r="16">
      <c r="A16" s="11" t="n">
        <v>46144</v>
      </c>
      <c r="B16" t="inlineStr">
        <is>
          <t>S003</t>
        </is>
      </c>
      <c r="C16" t="inlineStr">
        <is>
          <t>乾物</t>
        </is>
      </c>
      <c r="D16" s="8" t="n">
        <v>4</v>
      </c>
      <c r="E16" s="8" t="n">
        <v>3920</v>
      </c>
      <c r="F16" t="inlineStr">
        <is>
          <t>渡辺</t>
        </is>
      </c>
    </row>
    <row r="17">
      <c r="A17" s="11" t="n">
        <v>46144</v>
      </c>
      <c r="B17" t="inlineStr">
        <is>
          <t>C002</t>
        </is>
      </c>
      <c r="C17" t="inlineStr">
        <is>
          <t>調味料</t>
        </is>
      </c>
      <c r="D17" s="8" t="n">
        <v>9</v>
      </c>
      <c r="E17" s="8" t="n">
        <v>8820</v>
      </c>
      <c r="F17" t="inlineStr">
        <is>
          <t>田中</t>
        </is>
      </c>
    </row>
    <row r="18">
      <c r="A18" s="11" t="n">
        <v>46144</v>
      </c>
      <c r="B18" t="inlineStr">
        <is>
          <t>P008</t>
        </is>
      </c>
      <c r="C18" t="inlineStr">
        <is>
          <t>穀物</t>
        </is>
      </c>
      <c r="D18" s="8" t="n">
        <v>3</v>
      </c>
      <c r="E18" s="8" t="n">
        <v>3840</v>
      </c>
      <c r="F18" t="inlineStr">
        <is>
          <t>高橋</t>
        </is>
      </c>
    </row>
    <row r="19">
      <c r="A19" s="11" t="n">
        <v>46144</v>
      </c>
      <c r="B19" t="inlineStr">
        <is>
          <t>P003</t>
        </is>
      </c>
      <c r="C19" t="inlineStr">
        <is>
          <t>穀物</t>
        </is>
      </c>
      <c r="D19" s="8" t="n">
        <v>7</v>
      </c>
      <c r="E19" s="8" t="n">
        <v>8960</v>
      </c>
      <c r="F19" t="inlineStr">
        <is>
          <t>佐藤</t>
        </is>
      </c>
    </row>
    <row r="20">
      <c r="A20" s="11" t="n">
        <v>46145</v>
      </c>
      <c r="B20" t="inlineStr">
        <is>
          <t>P007</t>
        </is>
      </c>
      <c r="C20" t="inlineStr">
        <is>
          <t>穀物</t>
        </is>
      </c>
      <c r="D20" s="8" t="n">
        <v>1</v>
      </c>
      <c r="E20" s="8" t="n">
        <v>1180</v>
      </c>
      <c r="F20" t="inlineStr">
        <is>
          <t>高橋</t>
        </is>
      </c>
    </row>
    <row r="21">
      <c r="A21" s="11" t="n">
        <v>46145</v>
      </c>
      <c r="B21" t="inlineStr">
        <is>
          <t>P007</t>
        </is>
      </c>
      <c r="C21" t="inlineStr">
        <is>
          <t>穀物</t>
        </is>
      </c>
      <c r="D21" s="8" t="n">
        <v>4</v>
      </c>
      <c r="E21" s="8" t="n">
        <v>4720</v>
      </c>
      <c r="F21" t="inlineStr">
        <is>
          <t>渡辺</t>
        </is>
      </c>
    </row>
    <row r="22">
      <c r="A22" s="11" t="n">
        <v>46145</v>
      </c>
      <c r="B22" t="inlineStr">
        <is>
          <t>P008</t>
        </is>
      </c>
      <c r="C22" t="inlineStr">
        <is>
          <t>穀物</t>
        </is>
      </c>
      <c r="D22" s="8" t="n">
        <v>12</v>
      </c>
      <c r="E22" s="8" t="n">
        <v>15360</v>
      </c>
      <c r="F22" t="inlineStr">
        <is>
          <t>渡辺</t>
        </is>
      </c>
    </row>
    <row r="23">
      <c r="A23" s="11" t="n">
        <v>46145</v>
      </c>
      <c r="B23" t="inlineStr">
        <is>
          <t>P006</t>
        </is>
      </c>
      <c r="C23" t="inlineStr">
        <is>
          <t>穀物</t>
        </is>
      </c>
      <c r="D23" s="8" t="n">
        <v>3</v>
      </c>
      <c r="E23" s="8" t="n">
        <v>2040</v>
      </c>
      <c r="F23" t="inlineStr">
        <is>
          <t>鈴木</t>
        </is>
      </c>
    </row>
    <row r="24">
      <c r="A24" s="11" t="n">
        <v>46145</v>
      </c>
      <c r="B24" t="inlineStr">
        <is>
          <t>P008</t>
        </is>
      </c>
      <c r="C24" t="inlineStr">
        <is>
          <t>穀物</t>
        </is>
      </c>
      <c r="D24" s="8" t="n">
        <v>10</v>
      </c>
      <c r="E24" s="8" t="n">
        <v>12800</v>
      </c>
      <c r="F24" t="inlineStr">
        <is>
          <t>佐藤</t>
        </is>
      </c>
    </row>
    <row r="25">
      <c r="A25" s="11" t="n">
        <v>46145</v>
      </c>
      <c r="B25" t="inlineStr">
        <is>
          <t>D001</t>
        </is>
      </c>
      <c r="C25" t="inlineStr">
        <is>
          <t>飲料</t>
        </is>
      </c>
      <c r="D25" s="8" t="n">
        <v>6</v>
      </c>
      <c r="E25" s="8" t="n">
        <v>5880</v>
      </c>
      <c r="F25" t="inlineStr">
        <is>
          <t>高橋</t>
        </is>
      </c>
    </row>
    <row r="26">
      <c r="A26" s="11" t="n">
        <v>46146</v>
      </c>
      <c r="B26" t="inlineStr">
        <is>
          <t>D004</t>
        </is>
      </c>
      <c r="C26" t="inlineStr">
        <is>
          <t>飲料</t>
        </is>
      </c>
      <c r="D26" s="8" t="n">
        <v>7</v>
      </c>
      <c r="E26" s="8" t="n">
        <v>10360</v>
      </c>
      <c r="F26" t="inlineStr">
        <is>
          <t>鈴木</t>
        </is>
      </c>
    </row>
    <row r="27">
      <c r="A27" s="11" t="n">
        <v>46146</v>
      </c>
      <c r="B27" t="inlineStr">
        <is>
          <t>P001</t>
        </is>
      </c>
      <c r="C27" t="inlineStr">
        <is>
          <t>穀物</t>
        </is>
      </c>
      <c r="D27" s="8" t="n">
        <v>9</v>
      </c>
      <c r="E27" s="8" t="n">
        <v>17820</v>
      </c>
      <c r="F27" t="inlineStr">
        <is>
          <t>鈴木</t>
        </is>
      </c>
    </row>
    <row r="28">
      <c r="A28" s="11" t="n">
        <v>46146</v>
      </c>
      <c r="B28" t="inlineStr">
        <is>
          <t>P009</t>
        </is>
      </c>
      <c r="C28" t="inlineStr">
        <is>
          <t>穀物</t>
        </is>
      </c>
      <c r="D28" s="8" t="n">
        <v>12</v>
      </c>
      <c r="E28" s="8" t="n">
        <v>11760</v>
      </c>
      <c r="F28" t="inlineStr">
        <is>
          <t>佐藤</t>
        </is>
      </c>
    </row>
    <row r="29">
      <c r="A29" s="11" t="n">
        <v>46146</v>
      </c>
      <c r="B29" t="inlineStr">
        <is>
          <t>D001</t>
        </is>
      </c>
      <c r="C29" t="inlineStr">
        <is>
          <t>飲料</t>
        </is>
      </c>
      <c r="D29" s="8" t="n">
        <v>1</v>
      </c>
      <c r="E29" s="8" t="n">
        <v>980</v>
      </c>
      <c r="F29" t="inlineStr">
        <is>
          <t>鈴木</t>
        </is>
      </c>
    </row>
    <row r="30">
      <c r="A30" s="11" t="n">
        <v>46146</v>
      </c>
      <c r="B30" t="inlineStr">
        <is>
          <t>P010</t>
        </is>
      </c>
      <c r="C30" t="inlineStr">
        <is>
          <t>穀物</t>
        </is>
      </c>
      <c r="D30" s="8" t="n">
        <v>11</v>
      </c>
      <c r="E30" s="8" t="n">
        <v>31680</v>
      </c>
      <c r="F30" t="inlineStr">
        <is>
          <t>田中</t>
        </is>
      </c>
    </row>
    <row r="31">
      <c r="A31" s="11" t="n">
        <v>46146</v>
      </c>
      <c r="B31" t="inlineStr">
        <is>
          <t>P006</t>
        </is>
      </c>
      <c r="C31" t="inlineStr">
        <is>
          <t>穀物</t>
        </is>
      </c>
      <c r="D31" s="8" t="n">
        <v>10</v>
      </c>
      <c r="E31" s="8" t="n">
        <v>6800</v>
      </c>
      <c r="F31" t="inlineStr">
        <is>
          <t>鈴木</t>
        </is>
      </c>
    </row>
    <row r="32">
      <c r="A32" s="11" t="n">
        <v>46147</v>
      </c>
      <c r="B32" t="inlineStr">
        <is>
          <t>D001</t>
        </is>
      </c>
      <c r="C32" t="inlineStr">
        <is>
          <t>飲料</t>
        </is>
      </c>
      <c r="D32" s="8" t="n">
        <v>5</v>
      </c>
      <c r="E32" s="8" t="n">
        <v>4900</v>
      </c>
      <c r="F32" t="inlineStr">
        <is>
          <t>鈴木</t>
        </is>
      </c>
    </row>
    <row r="33">
      <c r="A33" s="11" t="n">
        <v>46147</v>
      </c>
      <c r="B33" t="inlineStr">
        <is>
          <t>D002</t>
        </is>
      </c>
      <c r="C33" t="inlineStr">
        <is>
          <t>飲料</t>
        </is>
      </c>
      <c r="D33" s="8" t="n">
        <v>3</v>
      </c>
      <c r="E33" s="8" t="n">
        <v>2640</v>
      </c>
      <c r="F33" t="inlineStr">
        <is>
          <t>高橋</t>
        </is>
      </c>
    </row>
    <row r="34">
      <c r="A34" s="11" t="n">
        <v>46147</v>
      </c>
      <c r="B34" t="inlineStr">
        <is>
          <t>P007</t>
        </is>
      </c>
      <c r="C34" t="inlineStr">
        <is>
          <t>穀物</t>
        </is>
      </c>
      <c r="D34" s="8" t="n">
        <v>2</v>
      </c>
      <c r="E34" s="8" t="n">
        <v>2360</v>
      </c>
      <c r="F34" t="inlineStr">
        <is>
          <t>佐藤</t>
        </is>
      </c>
    </row>
    <row r="35">
      <c r="A35" s="11" t="n">
        <v>46147</v>
      </c>
      <c r="B35" t="inlineStr">
        <is>
          <t>P009</t>
        </is>
      </c>
      <c r="C35" t="inlineStr">
        <is>
          <t>穀物</t>
        </is>
      </c>
      <c r="D35" s="8" t="n">
        <v>9</v>
      </c>
      <c r="E35" s="8" t="n">
        <v>8820</v>
      </c>
      <c r="F35" t="inlineStr">
        <is>
          <t>渡辺</t>
        </is>
      </c>
    </row>
    <row r="36">
      <c r="A36" s="11" t="n">
        <v>46147</v>
      </c>
      <c r="B36" t="inlineStr">
        <is>
          <t>P010</t>
        </is>
      </c>
      <c r="C36" t="inlineStr">
        <is>
          <t>穀物</t>
        </is>
      </c>
      <c r="D36" s="8" t="n">
        <v>4</v>
      </c>
      <c r="E36" s="8" t="n">
        <v>11520</v>
      </c>
      <c r="F36" t="inlineStr">
        <is>
          <t>渡辺</t>
        </is>
      </c>
    </row>
    <row r="37">
      <c r="A37" s="11" t="n">
        <v>46147</v>
      </c>
      <c r="B37" t="inlineStr">
        <is>
          <t>P005</t>
        </is>
      </c>
      <c r="C37" t="inlineStr">
        <is>
          <t>穀物</t>
        </is>
      </c>
      <c r="D37" s="8" t="n">
        <v>9</v>
      </c>
      <c r="E37" s="8" t="n">
        <v>7020</v>
      </c>
      <c r="F37" t="inlineStr">
        <is>
          <t>高橋</t>
        </is>
      </c>
    </row>
    <row r="38">
      <c r="A38" s="11" t="n">
        <v>46147</v>
      </c>
      <c r="B38" t="inlineStr">
        <is>
          <t>D004</t>
        </is>
      </c>
      <c r="C38" t="inlineStr">
        <is>
          <t>飲料</t>
        </is>
      </c>
      <c r="D38" s="8" t="n">
        <v>12</v>
      </c>
      <c r="E38" s="8" t="n">
        <v>17760</v>
      </c>
      <c r="F38" t="inlineStr">
        <is>
          <t>渡辺</t>
        </is>
      </c>
    </row>
    <row r="39">
      <c r="A39" s="11" t="n">
        <v>46147</v>
      </c>
      <c r="B39" t="inlineStr">
        <is>
          <t>P003</t>
        </is>
      </c>
      <c r="C39" t="inlineStr">
        <is>
          <t>穀物</t>
        </is>
      </c>
      <c r="D39" s="8" t="n">
        <v>1</v>
      </c>
      <c r="E39" s="8" t="n">
        <v>1280</v>
      </c>
      <c r="F39" t="inlineStr">
        <is>
          <t>佐藤</t>
        </is>
      </c>
    </row>
    <row r="40">
      <c r="A40" s="11" t="n">
        <v>46147</v>
      </c>
      <c r="B40" t="inlineStr">
        <is>
          <t>P006</t>
        </is>
      </c>
      <c r="C40" t="inlineStr">
        <is>
          <t>穀物</t>
        </is>
      </c>
      <c r="D40" s="8" t="n">
        <v>9</v>
      </c>
      <c r="E40" s="8" t="n">
        <v>6120</v>
      </c>
      <c r="F40" t="inlineStr">
        <is>
          <t>渡辺</t>
        </is>
      </c>
    </row>
    <row r="41">
      <c r="A41" s="11" t="n">
        <v>46147</v>
      </c>
      <c r="B41" t="inlineStr">
        <is>
          <t>P005</t>
        </is>
      </c>
      <c r="C41" t="inlineStr">
        <is>
          <t>穀物</t>
        </is>
      </c>
      <c r="D41" s="8" t="n">
        <v>12</v>
      </c>
      <c r="E41" s="8" t="n">
        <v>9360</v>
      </c>
      <c r="F41" t="inlineStr">
        <is>
          <t>渡辺</t>
        </is>
      </c>
    </row>
    <row r="42">
      <c r="A42" s="11" t="n">
        <v>46148</v>
      </c>
      <c r="B42" t="inlineStr">
        <is>
          <t>D005</t>
        </is>
      </c>
      <c r="C42" t="inlineStr">
        <is>
          <t>飲料</t>
        </is>
      </c>
      <c r="D42" s="8" t="n">
        <v>3</v>
      </c>
      <c r="E42" s="8" t="n">
        <v>1740</v>
      </c>
      <c r="F42" t="inlineStr">
        <is>
          <t>田中</t>
        </is>
      </c>
    </row>
    <row r="43">
      <c r="A43" s="11" t="n">
        <v>46148</v>
      </c>
      <c r="B43" t="inlineStr">
        <is>
          <t>P003</t>
        </is>
      </c>
      <c r="C43" t="inlineStr">
        <is>
          <t>穀物</t>
        </is>
      </c>
      <c r="D43" s="8" t="n">
        <v>6</v>
      </c>
      <c r="E43" s="8" t="n">
        <v>7680</v>
      </c>
      <c r="F43" t="inlineStr">
        <is>
          <t>渡辺</t>
        </is>
      </c>
    </row>
    <row r="44">
      <c r="A44" s="11" t="n">
        <v>46148</v>
      </c>
      <c r="B44" t="inlineStr">
        <is>
          <t>P003</t>
        </is>
      </c>
      <c r="C44" t="inlineStr">
        <is>
          <t>穀物</t>
        </is>
      </c>
      <c r="D44" s="8" t="n">
        <v>4</v>
      </c>
      <c r="E44" s="8" t="n">
        <v>5120</v>
      </c>
      <c r="F44" t="inlineStr">
        <is>
          <t>渡辺</t>
        </is>
      </c>
    </row>
    <row r="45">
      <c r="A45" s="11" t="n">
        <v>46148</v>
      </c>
      <c r="B45" t="inlineStr">
        <is>
          <t>D004</t>
        </is>
      </c>
      <c r="C45" t="inlineStr">
        <is>
          <t>飲料</t>
        </is>
      </c>
      <c r="D45" s="8" t="n">
        <v>12</v>
      </c>
      <c r="E45" s="8" t="n">
        <v>17760</v>
      </c>
      <c r="F45" t="inlineStr">
        <is>
          <t>佐藤</t>
        </is>
      </c>
    </row>
    <row r="46">
      <c r="A46" s="11" t="n">
        <v>46148</v>
      </c>
      <c r="B46" t="inlineStr">
        <is>
          <t>D003</t>
        </is>
      </c>
      <c r="C46" t="inlineStr">
        <is>
          <t>飲料</t>
        </is>
      </c>
      <c r="D46" s="8" t="n">
        <v>12</v>
      </c>
      <c r="E46" s="8" t="n">
        <v>12960</v>
      </c>
      <c r="F46" t="inlineStr">
        <is>
          <t>高橋</t>
        </is>
      </c>
    </row>
    <row r="47">
      <c r="A47" s="11" t="n">
        <v>46149</v>
      </c>
      <c r="B47" t="inlineStr">
        <is>
          <t>D002</t>
        </is>
      </c>
      <c r="C47" t="inlineStr">
        <is>
          <t>飲料</t>
        </is>
      </c>
      <c r="D47" s="8" t="n">
        <v>12</v>
      </c>
      <c r="E47" s="8" t="n">
        <v>10560</v>
      </c>
      <c r="F47" t="inlineStr">
        <is>
          <t>田中</t>
        </is>
      </c>
    </row>
    <row r="48">
      <c r="A48" s="11" t="n">
        <v>46149</v>
      </c>
      <c r="B48" t="inlineStr">
        <is>
          <t>C001</t>
        </is>
      </c>
      <c r="C48" t="inlineStr">
        <is>
          <t>調味料</t>
        </is>
      </c>
      <c r="D48" s="8" t="n">
        <v>6</v>
      </c>
      <c r="E48" s="8" t="n">
        <v>4680</v>
      </c>
      <c r="F48" t="inlineStr">
        <is>
          <t>渡辺</t>
        </is>
      </c>
    </row>
    <row r="49">
      <c r="A49" s="11" t="n">
        <v>46149</v>
      </c>
      <c r="B49" t="inlineStr">
        <is>
          <t>S003</t>
        </is>
      </c>
      <c r="C49" t="inlineStr">
        <is>
          <t>乾物</t>
        </is>
      </c>
      <c r="D49" s="8" t="n">
        <v>9</v>
      </c>
      <c r="E49" s="8" t="n">
        <v>8820</v>
      </c>
      <c r="F49" t="inlineStr">
        <is>
          <t>田中</t>
        </is>
      </c>
    </row>
    <row r="50">
      <c r="A50" s="11" t="n">
        <v>46149</v>
      </c>
      <c r="B50" t="inlineStr">
        <is>
          <t>P003</t>
        </is>
      </c>
      <c r="C50" t="inlineStr">
        <is>
          <t>穀物</t>
        </is>
      </c>
      <c r="D50" s="8" t="n">
        <v>4</v>
      </c>
      <c r="E50" s="8" t="n">
        <v>5120</v>
      </c>
      <c r="F50" t="inlineStr">
        <is>
          <t>佐藤</t>
        </is>
      </c>
    </row>
    <row r="51">
      <c r="A51" s="11" t="n">
        <v>46149</v>
      </c>
      <c r="B51" t="inlineStr">
        <is>
          <t>P008</t>
        </is>
      </c>
      <c r="C51" t="inlineStr">
        <is>
          <t>穀物</t>
        </is>
      </c>
      <c r="D51" s="8" t="n">
        <v>3</v>
      </c>
      <c r="E51" s="8" t="n">
        <v>3840</v>
      </c>
      <c r="F51" t="inlineStr">
        <is>
          <t>鈴木</t>
        </is>
      </c>
    </row>
    <row r="52">
      <c r="A52" s="11" t="n">
        <v>46149</v>
      </c>
      <c r="B52" t="inlineStr">
        <is>
          <t>C002</t>
        </is>
      </c>
      <c r="C52" t="inlineStr">
        <is>
          <t>調味料</t>
        </is>
      </c>
      <c r="D52" s="8" t="n">
        <v>12</v>
      </c>
      <c r="E52" s="8" t="n">
        <v>11760</v>
      </c>
      <c r="F52" t="inlineStr">
        <is>
          <t>渡辺</t>
        </is>
      </c>
    </row>
    <row r="53">
      <c r="A53" s="11" t="n">
        <v>46149</v>
      </c>
      <c r="B53" t="inlineStr">
        <is>
          <t>C001</t>
        </is>
      </c>
      <c r="C53" t="inlineStr">
        <is>
          <t>調味料</t>
        </is>
      </c>
      <c r="D53" s="8" t="n">
        <v>2</v>
      </c>
      <c r="E53" s="8" t="n">
        <v>1560</v>
      </c>
      <c r="F53" t="inlineStr">
        <is>
          <t>高橋</t>
        </is>
      </c>
    </row>
    <row r="54">
      <c r="A54" s="11" t="n">
        <v>46149</v>
      </c>
      <c r="B54" t="inlineStr">
        <is>
          <t>P010</t>
        </is>
      </c>
      <c r="C54" t="inlineStr">
        <is>
          <t>穀物</t>
        </is>
      </c>
      <c r="D54" s="8" t="n">
        <v>6</v>
      </c>
      <c r="E54" s="8" t="n">
        <v>17280</v>
      </c>
      <c r="F54" t="inlineStr">
        <is>
          <t>鈴木</t>
        </is>
      </c>
    </row>
    <row r="55">
      <c r="A55" s="11" t="n">
        <v>46150</v>
      </c>
      <c r="B55" t="inlineStr">
        <is>
          <t>P001</t>
        </is>
      </c>
      <c r="C55" t="inlineStr">
        <is>
          <t>穀物</t>
        </is>
      </c>
      <c r="D55" s="8" t="n">
        <v>9</v>
      </c>
      <c r="E55" s="8" t="n">
        <v>17820</v>
      </c>
      <c r="F55" t="inlineStr">
        <is>
          <t>鈴木</t>
        </is>
      </c>
    </row>
    <row r="56">
      <c r="A56" s="11" t="n">
        <v>46150</v>
      </c>
      <c r="B56" t="inlineStr">
        <is>
          <t>D003</t>
        </is>
      </c>
      <c r="C56" t="inlineStr">
        <is>
          <t>飲料</t>
        </is>
      </c>
      <c r="D56" s="8" t="n">
        <v>6</v>
      </c>
      <c r="E56" s="8" t="n">
        <v>6480</v>
      </c>
      <c r="F56" t="inlineStr">
        <is>
          <t>渡辺</t>
        </is>
      </c>
    </row>
    <row r="57">
      <c r="A57" s="11" t="n">
        <v>46150</v>
      </c>
      <c r="B57" t="inlineStr">
        <is>
          <t>P006</t>
        </is>
      </c>
      <c r="C57" t="inlineStr">
        <is>
          <t>穀物</t>
        </is>
      </c>
      <c r="D57" s="8" t="n">
        <v>7</v>
      </c>
      <c r="E57" s="8" t="n">
        <v>4760</v>
      </c>
      <c r="F57" t="inlineStr">
        <is>
          <t>佐藤</t>
        </is>
      </c>
    </row>
    <row r="58">
      <c r="A58" s="11" t="n">
        <v>46150</v>
      </c>
      <c r="B58" t="inlineStr">
        <is>
          <t>S002</t>
        </is>
      </c>
      <c r="C58" t="inlineStr">
        <is>
          <t>乾物</t>
        </is>
      </c>
      <c r="D58" s="8" t="n">
        <v>5</v>
      </c>
      <c r="E58" s="8" t="n">
        <v>6400</v>
      </c>
      <c r="F58" t="inlineStr">
        <is>
          <t>田中</t>
        </is>
      </c>
    </row>
    <row r="59">
      <c r="A59" s="11" t="n">
        <v>46150</v>
      </c>
      <c r="B59" t="inlineStr">
        <is>
          <t>P002</t>
        </is>
      </c>
      <c r="C59" t="inlineStr">
        <is>
          <t>穀物</t>
        </is>
      </c>
      <c r="D59" s="8" t="n">
        <v>7</v>
      </c>
      <c r="E59" s="8" t="n">
        <v>17360</v>
      </c>
      <c r="F59" t="inlineStr">
        <is>
          <t>渡辺</t>
        </is>
      </c>
    </row>
    <row r="60">
      <c r="A60" s="11" t="n">
        <v>46150</v>
      </c>
      <c r="B60" t="inlineStr">
        <is>
          <t>P007</t>
        </is>
      </c>
      <c r="C60" t="inlineStr">
        <is>
          <t>穀物</t>
        </is>
      </c>
      <c r="D60" s="8" t="n">
        <v>8</v>
      </c>
      <c r="E60" s="8" t="n">
        <v>9440</v>
      </c>
      <c r="F60" t="inlineStr">
        <is>
          <t>鈴木</t>
        </is>
      </c>
    </row>
    <row r="61">
      <c r="A61" s="11" t="n">
        <v>46150</v>
      </c>
      <c r="B61" t="inlineStr">
        <is>
          <t>D004</t>
        </is>
      </c>
      <c r="C61" t="inlineStr">
        <is>
          <t>飲料</t>
        </is>
      </c>
      <c r="D61" s="8" t="n">
        <v>4</v>
      </c>
      <c r="E61" s="8" t="n">
        <v>5920</v>
      </c>
      <c r="F61" t="inlineStr">
        <is>
          <t>佐藤</t>
        </is>
      </c>
    </row>
    <row r="62">
      <c r="A62" s="11" t="n">
        <v>46150</v>
      </c>
      <c r="B62" t="inlineStr">
        <is>
          <t>D005</t>
        </is>
      </c>
      <c r="C62" t="inlineStr">
        <is>
          <t>飲料</t>
        </is>
      </c>
      <c r="D62" s="8" t="n">
        <v>4</v>
      </c>
      <c r="E62" s="8" t="n">
        <v>2320</v>
      </c>
      <c r="F62" t="inlineStr">
        <is>
          <t>田中</t>
        </is>
      </c>
    </row>
    <row r="63">
      <c r="A63" s="11" t="n">
        <v>46150</v>
      </c>
      <c r="B63" t="inlineStr">
        <is>
          <t>S003</t>
        </is>
      </c>
      <c r="C63" t="inlineStr">
        <is>
          <t>乾物</t>
        </is>
      </c>
      <c r="D63" s="8" t="n">
        <v>12</v>
      </c>
      <c r="E63" s="8" t="n">
        <v>11760</v>
      </c>
      <c r="F63" t="inlineStr">
        <is>
          <t>佐藤</t>
        </is>
      </c>
    </row>
    <row r="64">
      <c r="A64" s="11" t="n">
        <v>46150</v>
      </c>
      <c r="B64" t="inlineStr">
        <is>
          <t>S003</t>
        </is>
      </c>
      <c r="C64" t="inlineStr">
        <is>
          <t>乾物</t>
        </is>
      </c>
      <c r="D64" s="8" t="n">
        <v>1</v>
      </c>
      <c r="E64" s="8" t="n">
        <v>980</v>
      </c>
      <c r="F64" t="inlineStr">
        <is>
          <t>渡辺</t>
        </is>
      </c>
    </row>
    <row r="65">
      <c r="A65" s="11" t="n">
        <v>46151</v>
      </c>
      <c r="B65" t="inlineStr">
        <is>
          <t>P001</t>
        </is>
      </c>
      <c r="C65" t="inlineStr">
        <is>
          <t>穀物</t>
        </is>
      </c>
      <c r="D65" s="8" t="n">
        <v>2</v>
      </c>
      <c r="E65" s="8" t="n">
        <v>3960</v>
      </c>
      <c r="F65" t="inlineStr">
        <is>
          <t>田中</t>
        </is>
      </c>
    </row>
    <row r="66">
      <c r="A66" s="11" t="n">
        <v>46151</v>
      </c>
      <c r="B66" t="inlineStr">
        <is>
          <t>P009</t>
        </is>
      </c>
      <c r="C66" t="inlineStr">
        <is>
          <t>穀物</t>
        </is>
      </c>
      <c r="D66" s="8" t="n">
        <v>11</v>
      </c>
      <c r="E66" s="8" t="n">
        <v>10780</v>
      </c>
      <c r="F66" t="inlineStr">
        <is>
          <t>高橋</t>
        </is>
      </c>
    </row>
    <row r="67">
      <c r="A67" s="11" t="n">
        <v>46151</v>
      </c>
      <c r="B67" t="inlineStr">
        <is>
          <t>P001</t>
        </is>
      </c>
      <c r="C67" t="inlineStr">
        <is>
          <t>穀物</t>
        </is>
      </c>
      <c r="D67" s="8" t="n">
        <v>4</v>
      </c>
      <c r="E67" s="8" t="n">
        <v>7920</v>
      </c>
      <c r="F67" t="inlineStr">
        <is>
          <t>鈴木</t>
        </is>
      </c>
    </row>
    <row r="68">
      <c r="A68" s="11" t="n">
        <v>46151</v>
      </c>
      <c r="B68" t="inlineStr">
        <is>
          <t>S001</t>
        </is>
      </c>
      <c r="C68" t="inlineStr">
        <is>
          <t>乾物</t>
        </is>
      </c>
      <c r="D68" s="8" t="n">
        <v>9</v>
      </c>
      <c r="E68" s="8" t="n">
        <v>17820</v>
      </c>
      <c r="F68" t="inlineStr">
        <is>
          <t>渡辺</t>
        </is>
      </c>
    </row>
    <row r="69">
      <c r="A69" s="11" t="n">
        <v>46151</v>
      </c>
      <c r="B69" t="inlineStr">
        <is>
          <t>P003</t>
        </is>
      </c>
      <c r="C69" t="inlineStr">
        <is>
          <t>穀物</t>
        </is>
      </c>
      <c r="D69" s="8" t="n">
        <v>3</v>
      </c>
      <c r="E69" s="8" t="n">
        <v>3840</v>
      </c>
      <c r="F69" t="inlineStr">
        <is>
          <t>高橋</t>
        </is>
      </c>
    </row>
    <row r="70">
      <c r="A70" s="11" t="n">
        <v>46151</v>
      </c>
      <c r="B70" t="inlineStr">
        <is>
          <t>D004</t>
        </is>
      </c>
      <c r="C70" t="inlineStr">
        <is>
          <t>飲料</t>
        </is>
      </c>
      <c r="D70" s="8" t="n">
        <v>4</v>
      </c>
      <c r="E70" s="8" t="n">
        <v>5920</v>
      </c>
      <c r="F70" t="inlineStr">
        <is>
          <t>渡辺</t>
        </is>
      </c>
    </row>
    <row r="71">
      <c r="A71" s="11" t="n">
        <v>46151</v>
      </c>
      <c r="B71" t="inlineStr">
        <is>
          <t>D005</t>
        </is>
      </c>
      <c r="C71" t="inlineStr">
        <is>
          <t>飲料</t>
        </is>
      </c>
      <c r="D71" s="8" t="n">
        <v>2</v>
      </c>
      <c r="E71" s="8" t="n">
        <v>1160</v>
      </c>
      <c r="F71" t="inlineStr">
        <is>
          <t>田中</t>
        </is>
      </c>
    </row>
    <row r="72">
      <c r="A72" s="11" t="n">
        <v>46151</v>
      </c>
      <c r="B72" t="inlineStr">
        <is>
          <t>P004</t>
        </is>
      </c>
      <c r="C72" t="inlineStr">
        <is>
          <t>穀物</t>
        </is>
      </c>
      <c r="D72" s="8" t="n">
        <v>3</v>
      </c>
      <c r="E72" s="8" t="n">
        <v>4740</v>
      </c>
      <c r="F72" t="inlineStr">
        <is>
          <t>鈴木</t>
        </is>
      </c>
    </row>
    <row r="73">
      <c r="A73" s="11" t="n">
        <v>46151</v>
      </c>
      <c r="B73" t="inlineStr">
        <is>
          <t>P004</t>
        </is>
      </c>
      <c r="C73" t="inlineStr">
        <is>
          <t>穀物</t>
        </is>
      </c>
      <c r="D73" s="8" t="n">
        <v>3</v>
      </c>
      <c r="E73" s="8" t="n">
        <v>4740</v>
      </c>
      <c r="F73" t="inlineStr">
        <is>
          <t>高橋</t>
        </is>
      </c>
    </row>
    <row r="74">
      <c r="A74" s="11" t="n">
        <v>46152</v>
      </c>
      <c r="B74" t="inlineStr">
        <is>
          <t>P010</t>
        </is>
      </c>
      <c r="C74" t="inlineStr">
        <is>
          <t>穀物</t>
        </is>
      </c>
      <c r="D74" s="8" t="n">
        <v>10</v>
      </c>
      <c r="E74" s="8" t="n">
        <v>28800</v>
      </c>
      <c r="F74" t="inlineStr">
        <is>
          <t>佐藤</t>
        </is>
      </c>
    </row>
    <row r="75">
      <c r="A75" s="11" t="n">
        <v>46152</v>
      </c>
      <c r="B75" t="inlineStr">
        <is>
          <t>D005</t>
        </is>
      </c>
      <c r="C75" t="inlineStr">
        <is>
          <t>飲料</t>
        </is>
      </c>
      <c r="D75" s="8" t="n">
        <v>8</v>
      </c>
      <c r="E75" s="8" t="n">
        <v>4640</v>
      </c>
      <c r="F75" t="inlineStr">
        <is>
          <t>佐藤</t>
        </is>
      </c>
    </row>
    <row r="76">
      <c r="A76" s="11" t="n">
        <v>46152</v>
      </c>
      <c r="B76" t="inlineStr">
        <is>
          <t>P009</t>
        </is>
      </c>
      <c r="C76" t="inlineStr">
        <is>
          <t>穀物</t>
        </is>
      </c>
      <c r="D76" s="8" t="n">
        <v>2</v>
      </c>
      <c r="E76" s="8" t="n">
        <v>1960</v>
      </c>
      <c r="F76" t="inlineStr">
        <is>
          <t>高橋</t>
        </is>
      </c>
    </row>
    <row r="77">
      <c r="A77" s="11" t="n">
        <v>46152</v>
      </c>
      <c r="B77" t="inlineStr">
        <is>
          <t>P009</t>
        </is>
      </c>
      <c r="C77" t="inlineStr">
        <is>
          <t>穀物</t>
        </is>
      </c>
      <c r="D77" s="8" t="n">
        <v>11</v>
      </c>
      <c r="E77" s="8" t="n">
        <v>10780</v>
      </c>
      <c r="F77" t="inlineStr">
        <is>
          <t>渡辺</t>
        </is>
      </c>
    </row>
    <row r="78">
      <c r="A78" s="11" t="n">
        <v>46152</v>
      </c>
      <c r="B78" t="inlineStr">
        <is>
          <t>D002</t>
        </is>
      </c>
      <c r="C78" t="inlineStr">
        <is>
          <t>飲料</t>
        </is>
      </c>
      <c r="D78" s="8" t="n">
        <v>3</v>
      </c>
      <c r="E78" s="8" t="n">
        <v>2640</v>
      </c>
      <c r="F78" t="inlineStr">
        <is>
          <t>渡辺</t>
        </is>
      </c>
    </row>
    <row r="79">
      <c r="A79" s="11" t="n">
        <v>46152</v>
      </c>
      <c r="B79" t="inlineStr">
        <is>
          <t>C002</t>
        </is>
      </c>
      <c r="C79" t="inlineStr">
        <is>
          <t>調味料</t>
        </is>
      </c>
      <c r="D79" s="8" t="n">
        <v>1</v>
      </c>
      <c r="E79" s="8" t="n">
        <v>980</v>
      </c>
      <c r="F79" t="inlineStr">
        <is>
          <t>鈴木</t>
        </is>
      </c>
    </row>
    <row r="80">
      <c r="A80" s="11" t="n">
        <v>46153</v>
      </c>
      <c r="B80" t="inlineStr">
        <is>
          <t>P007</t>
        </is>
      </c>
      <c r="C80" t="inlineStr">
        <is>
          <t>穀物</t>
        </is>
      </c>
      <c r="D80" s="8" t="n">
        <v>12</v>
      </c>
      <c r="E80" s="8" t="n">
        <v>14160</v>
      </c>
      <c r="F80" t="inlineStr">
        <is>
          <t>渡辺</t>
        </is>
      </c>
    </row>
    <row r="81">
      <c r="A81" s="11" t="n">
        <v>46153</v>
      </c>
      <c r="B81" t="inlineStr">
        <is>
          <t>P007</t>
        </is>
      </c>
      <c r="C81" t="inlineStr">
        <is>
          <t>穀物</t>
        </is>
      </c>
      <c r="D81" s="8" t="n">
        <v>5</v>
      </c>
      <c r="E81" s="8" t="n">
        <v>5900</v>
      </c>
      <c r="F81" t="inlineStr">
        <is>
          <t>高橋</t>
        </is>
      </c>
    </row>
    <row r="82">
      <c r="A82" s="11" t="n">
        <v>46153</v>
      </c>
      <c r="B82" t="inlineStr">
        <is>
          <t>S002</t>
        </is>
      </c>
      <c r="C82" t="inlineStr">
        <is>
          <t>乾物</t>
        </is>
      </c>
      <c r="D82" s="8" t="n">
        <v>4</v>
      </c>
      <c r="E82" s="8" t="n">
        <v>5120</v>
      </c>
      <c r="F82" t="inlineStr">
        <is>
          <t>鈴木</t>
        </is>
      </c>
    </row>
    <row r="83">
      <c r="A83" s="11" t="n">
        <v>46153</v>
      </c>
      <c r="B83" t="inlineStr">
        <is>
          <t>P009</t>
        </is>
      </c>
      <c r="C83" t="inlineStr">
        <is>
          <t>穀物</t>
        </is>
      </c>
      <c r="D83" s="8" t="n">
        <v>9</v>
      </c>
      <c r="E83" s="8" t="n">
        <v>8820</v>
      </c>
      <c r="F83" t="inlineStr">
        <is>
          <t>佐藤</t>
        </is>
      </c>
    </row>
    <row r="84">
      <c r="A84" s="11" t="n">
        <v>46153</v>
      </c>
      <c r="B84" t="inlineStr">
        <is>
          <t>D002</t>
        </is>
      </c>
      <c r="C84" t="inlineStr">
        <is>
          <t>飲料</t>
        </is>
      </c>
      <c r="D84" s="8" t="n">
        <v>1</v>
      </c>
      <c r="E84" s="8" t="n">
        <v>880</v>
      </c>
      <c r="F84" t="inlineStr">
        <is>
          <t>渡辺</t>
        </is>
      </c>
    </row>
    <row r="85">
      <c r="A85" s="11" t="n">
        <v>46153</v>
      </c>
      <c r="B85" t="inlineStr">
        <is>
          <t>S003</t>
        </is>
      </c>
      <c r="C85" t="inlineStr">
        <is>
          <t>乾物</t>
        </is>
      </c>
      <c r="D85" s="8" t="n">
        <v>7</v>
      </c>
      <c r="E85" s="8" t="n">
        <v>6860</v>
      </c>
      <c r="F85" t="inlineStr">
        <is>
          <t>佐藤</t>
        </is>
      </c>
    </row>
    <row r="86">
      <c r="A86" s="11" t="n">
        <v>46153</v>
      </c>
      <c r="B86" t="inlineStr">
        <is>
          <t>D001</t>
        </is>
      </c>
      <c r="C86" t="inlineStr">
        <is>
          <t>飲料</t>
        </is>
      </c>
      <c r="D86" s="8" t="n">
        <v>8</v>
      </c>
      <c r="E86" s="8" t="n">
        <v>7840</v>
      </c>
      <c r="F86" t="inlineStr">
        <is>
          <t>渡辺</t>
        </is>
      </c>
    </row>
    <row r="87">
      <c r="A87" s="11" t="n">
        <v>46153</v>
      </c>
      <c r="B87" t="inlineStr">
        <is>
          <t>P001</t>
        </is>
      </c>
      <c r="C87" t="inlineStr">
        <is>
          <t>穀物</t>
        </is>
      </c>
      <c r="D87" s="8" t="n">
        <v>12</v>
      </c>
      <c r="E87" s="8" t="n">
        <v>23760</v>
      </c>
      <c r="F87" t="inlineStr">
        <is>
          <t>高橋</t>
        </is>
      </c>
    </row>
    <row r="88">
      <c r="A88" s="11" t="n">
        <v>46154</v>
      </c>
      <c r="B88" t="inlineStr">
        <is>
          <t>S003</t>
        </is>
      </c>
      <c r="C88" t="inlineStr">
        <is>
          <t>乾物</t>
        </is>
      </c>
      <c r="D88" s="8" t="n">
        <v>10</v>
      </c>
      <c r="E88" s="8" t="n">
        <v>9800</v>
      </c>
      <c r="F88" t="inlineStr">
        <is>
          <t>鈴木</t>
        </is>
      </c>
    </row>
    <row r="89">
      <c r="A89" s="11" t="n">
        <v>46154</v>
      </c>
      <c r="B89" t="inlineStr">
        <is>
          <t>D004</t>
        </is>
      </c>
      <c r="C89" t="inlineStr">
        <is>
          <t>飲料</t>
        </is>
      </c>
      <c r="D89" s="8" t="n">
        <v>7</v>
      </c>
      <c r="E89" s="8" t="n">
        <v>10360</v>
      </c>
      <c r="F89" t="inlineStr">
        <is>
          <t>高橋</t>
        </is>
      </c>
    </row>
    <row r="90">
      <c r="A90" s="11" t="n">
        <v>46154</v>
      </c>
      <c r="B90" t="inlineStr">
        <is>
          <t>P001</t>
        </is>
      </c>
      <c r="C90" t="inlineStr">
        <is>
          <t>穀物</t>
        </is>
      </c>
      <c r="D90" s="8" t="n">
        <v>9</v>
      </c>
      <c r="E90" s="8" t="n">
        <v>17820</v>
      </c>
      <c r="F90" t="inlineStr">
        <is>
          <t>田中</t>
        </is>
      </c>
    </row>
    <row r="91">
      <c r="A91" s="11" t="n">
        <v>46154</v>
      </c>
      <c r="B91" t="inlineStr">
        <is>
          <t>P007</t>
        </is>
      </c>
      <c r="C91" t="inlineStr">
        <is>
          <t>穀物</t>
        </is>
      </c>
      <c r="D91" s="8" t="n">
        <v>11</v>
      </c>
      <c r="E91" s="8" t="n">
        <v>12980</v>
      </c>
      <c r="F91" t="inlineStr">
        <is>
          <t>佐藤</t>
        </is>
      </c>
    </row>
    <row r="92">
      <c r="A92" s="11" t="n">
        <v>46154</v>
      </c>
      <c r="B92" t="inlineStr">
        <is>
          <t>P008</t>
        </is>
      </c>
      <c r="C92" t="inlineStr">
        <is>
          <t>穀物</t>
        </is>
      </c>
      <c r="D92" s="8" t="n">
        <v>8</v>
      </c>
      <c r="E92" s="8" t="n">
        <v>10240</v>
      </c>
      <c r="F92" t="inlineStr">
        <is>
          <t>佐藤</t>
        </is>
      </c>
    </row>
    <row r="93">
      <c r="A93" s="11" t="n">
        <v>46154</v>
      </c>
      <c r="B93" t="inlineStr">
        <is>
          <t>D005</t>
        </is>
      </c>
      <c r="C93" t="inlineStr">
        <is>
          <t>飲料</t>
        </is>
      </c>
      <c r="D93" s="8" t="n">
        <v>8</v>
      </c>
      <c r="E93" s="8" t="n">
        <v>4640</v>
      </c>
      <c r="F93" t="inlineStr">
        <is>
          <t>渡辺</t>
        </is>
      </c>
    </row>
    <row r="94">
      <c r="A94" s="11" t="n">
        <v>46154</v>
      </c>
      <c r="B94" t="inlineStr">
        <is>
          <t>P004</t>
        </is>
      </c>
      <c r="C94" t="inlineStr">
        <is>
          <t>穀物</t>
        </is>
      </c>
      <c r="D94" s="8" t="n">
        <v>10</v>
      </c>
      <c r="E94" s="8" t="n">
        <v>15800</v>
      </c>
      <c r="F94" t="inlineStr">
        <is>
          <t>高橋</t>
        </is>
      </c>
    </row>
    <row r="95">
      <c r="A95" s="11" t="n">
        <v>46154</v>
      </c>
      <c r="B95" t="inlineStr">
        <is>
          <t>C002</t>
        </is>
      </c>
      <c r="C95" t="inlineStr">
        <is>
          <t>調味料</t>
        </is>
      </c>
      <c r="D95" s="8" t="n">
        <v>11</v>
      </c>
      <c r="E95" s="8" t="n">
        <v>10780</v>
      </c>
      <c r="F95" t="inlineStr">
        <is>
          <t>田中</t>
        </is>
      </c>
    </row>
    <row r="96">
      <c r="A96" s="11" t="n">
        <v>46154</v>
      </c>
      <c r="B96" t="inlineStr">
        <is>
          <t>P007</t>
        </is>
      </c>
      <c r="C96" t="inlineStr">
        <is>
          <t>穀物</t>
        </is>
      </c>
      <c r="D96" s="8" t="n">
        <v>8</v>
      </c>
      <c r="E96" s="8" t="n">
        <v>9440</v>
      </c>
      <c r="F96" t="inlineStr">
        <is>
          <t>佐藤</t>
        </is>
      </c>
    </row>
    <row r="97">
      <c r="A97" s="11" t="n">
        <v>46155</v>
      </c>
      <c r="B97" t="inlineStr">
        <is>
          <t>P006</t>
        </is>
      </c>
      <c r="C97" t="inlineStr">
        <is>
          <t>穀物</t>
        </is>
      </c>
      <c r="D97" s="8" t="n">
        <v>5</v>
      </c>
      <c r="E97" s="8" t="n">
        <v>3400</v>
      </c>
      <c r="F97" t="inlineStr">
        <is>
          <t>鈴木</t>
        </is>
      </c>
    </row>
    <row r="98">
      <c r="A98" s="11" t="n">
        <v>46155</v>
      </c>
      <c r="B98" t="inlineStr">
        <is>
          <t>C002</t>
        </is>
      </c>
      <c r="C98" t="inlineStr">
        <is>
          <t>調味料</t>
        </is>
      </c>
      <c r="D98" s="8" t="n">
        <v>8</v>
      </c>
      <c r="E98" s="8" t="n">
        <v>7840</v>
      </c>
      <c r="F98" t="inlineStr">
        <is>
          <t>佐藤</t>
        </is>
      </c>
    </row>
    <row r="99">
      <c r="A99" s="11" t="n">
        <v>46155</v>
      </c>
      <c r="B99" t="inlineStr">
        <is>
          <t>P003</t>
        </is>
      </c>
      <c r="C99" t="inlineStr">
        <is>
          <t>穀物</t>
        </is>
      </c>
      <c r="D99" s="8" t="n">
        <v>9</v>
      </c>
      <c r="E99" s="8" t="n">
        <v>11520</v>
      </c>
      <c r="F99" t="inlineStr">
        <is>
          <t>田中</t>
        </is>
      </c>
    </row>
    <row r="100">
      <c r="A100" s="11" t="n">
        <v>46155</v>
      </c>
      <c r="B100" t="inlineStr">
        <is>
          <t>P002</t>
        </is>
      </c>
      <c r="C100" t="inlineStr">
        <is>
          <t>穀物</t>
        </is>
      </c>
      <c r="D100" s="8" t="n">
        <v>5</v>
      </c>
      <c r="E100" s="8" t="n">
        <v>12400</v>
      </c>
      <c r="F100" t="inlineStr">
        <is>
          <t>佐藤</t>
        </is>
      </c>
    </row>
    <row r="101">
      <c r="A101" s="11" t="n">
        <v>46155</v>
      </c>
      <c r="B101" t="inlineStr">
        <is>
          <t>C001</t>
        </is>
      </c>
      <c r="C101" t="inlineStr">
        <is>
          <t>調味料</t>
        </is>
      </c>
      <c r="D101" s="8" t="n">
        <v>11</v>
      </c>
      <c r="E101" s="8" t="n">
        <v>8580</v>
      </c>
      <c r="F101" t="inlineStr">
        <is>
          <t>田中</t>
        </is>
      </c>
    </row>
    <row r="102">
      <c r="A102" s="11" t="n">
        <v>46155</v>
      </c>
      <c r="B102" t="inlineStr">
        <is>
          <t>P008</t>
        </is>
      </c>
      <c r="C102" t="inlineStr">
        <is>
          <t>穀物</t>
        </is>
      </c>
      <c r="D102" s="8" t="n">
        <v>9</v>
      </c>
      <c r="E102" s="8" t="n">
        <v>11520</v>
      </c>
      <c r="F102" t="inlineStr">
        <is>
          <t>鈴木</t>
        </is>
      </c>
    </row>
    <row r="103">
      <c r="A103" s="11" t="n">
        <v>46155</v>
      </c>
      <c r="B103" t="inlineStr">
        <is>
          <t>P005</t>
        </is>
      </c>
      <c r="C103" t="inlineStr">
        <is>
          <t>穀物</t>
        </is>
      </c>
      <c r="D103" s="8" t="n">
        <v>12</v>
      </c>
      <c r="E103" s="8" t="n">
        <v>9360</v>
      </c>
      <c r="F103" t="inlineStr">
        <is>
          <t>鈴木</t>
        </is>
      </c>
    </row>
    <row r="104">
      <c r="A104" s="11" t="n">
        <v>46155</v>
      </c>
      <c r="B104" t="inlineStr">
        <is>
          <t>D001</t>
        </is>
      </c>
      <c r="C104" t="inlineStr">
        <is>
          <t>飲料</t>
        </is>
      </c>
      <c r="D104" s="8" t="n">
        <v>9</v>
      </c>
      <c r="E104" s="8" t="n">
        <v>8820</v>
      </c>
      <c r="F104" t="inlineStr">
        <is>
          <t>鈴木</t>
        </is>
      </c>
    </row>
    <row r="105">
      <c r="A105" s="11" t="n">
        <v>46155</v>
      </c>
      <c r="B105" t="inlineStr">
        <is>
          <t>D005</t>
        </is>
      </c>
      <c r="C105" t="inlineStr">
        <is>
          <t>飲料</t>
        </is>
      </c>
      <c r="D105" s="8" t="n">
        <v>3</v>
      </c>
      <c r="E105" s="8" t="n">
        <v>1740</v>
      </c>
      <c r="F105" t="inlineStr">
        <is>
          <t>高橋</t>
        </is>
      </c>
    </row>
    <row r="106">
      <c r="A106" s="11" t="n">
        <v>46155</v>
      </c>
      <c r="B106" t="inlineStr">
        <is>
          <t>P007</t>
        </is>
      </c>
      <c r="C106" t="inlineStr">
        <is>
          <t>穀物</t>
        </is>
      </c>
      <c r="D106" s="8" t="n">
        <v>9</v>
      </c>
      <c r="E106" s="8" t="n">
        <v>10620</v>
      </c>
      <c r="F106" t="inlineStr">
        <is>
          <t>鈴木</t>
        </is>
      </c>
    </row>
    <row r="107">
      <c r="A107" s="11" t="n">
        <v>46156</v>
      </c>
      <c r="B107" t="inlineStr">
        <is>
          <t>P004</t>
        </is>
      </c>
      <c r="C107" t="inlineStr">
        <is>
          <t>穀物</t>
        </is>
      </c>
      <c r="D107" s="8" t="n">
        <v>8</v>
      </c>
      <c r="E107" s="8" t="n">
        <v>12640</v>
      </c>
      <c r="F107" t="inlineStr">
        <is>
          <t>田中</t>
        </is>
      </c>
    </row>
    <row r="108">
      <c r="A108" s="11" t="n">
        <v>46156</v>
      </c>
      <c r="B108" t="inlineStr">
        <is>
          <t>D002</t>
        </is>
      </c>
      <c r="C108" t="inlineStr">
        <is>
          <t>飲料</t>
        </is>
      </c>
      <c r="D108" s="8" t="n">
        <v>8</v>
      </c>
      <c r="E108" s="8" t="n">
        <v>7040</v>
      </c>
      <c r="F108" t="inlineStr">
        <is>
          <t>渡辺</t>
        </is>
      </c>
    </row>
    <row r="109">
      <c r="A109" s="11" t="n">
        <v>46156</v>
      </c>
      <c r="B109" t="inlineStr">
        <is>
          <t>S001</t>
        </is>
      </c>
      <c r="C109" t="inlineStr">
        <is>
          <t>乾物</t>
        </is>
      </c>
      <c r="D109" s="8" t="n">
        <v>8</v>
      </c>
      <c r="E109" s="8" t="n">
        <v>15840</v>
      </c>
      <c r="F109" t="inlineStr">
        <is>
          <t>渡辺</t>
        </is>
      </c>
    </row>
    <row r="110">
      <c r="A110" s="11" t="n">
        <v>46156</v>
      </c>
      <c r="B110" t="inlineStr">
        <is>
          <t>D003</t>
        </is>
      </c>
      <c r="C110" t="inlineStr">
        <is>
          <t>飲料</t>
        </is>
      </c>
      <c r="D110" s="8" t="n">
        <v>5</v>
      </c>
      <c r="E110" s="8" t="n">
        <v>5400</v>
      </c>
      <c r="F110" t="inlineStr">
        <is>
          <t>高橋</t>
        </is>
      </c>
    </row>
    <row r="111">
      <c r="A111" s="11" t="n">
        <v>46156</v>
      </c>
      <c r="B111" t="inlineStr">
        <is>
          <t>C001</t>
        </is>
      </c>
      <c r="C111" t="inlineStr">
        <is>
          <t>調味料</t>
        </is>
      </c>
      <c r="D111" s="8" t="n">
        <v>3</v>
      </c>
      <c r="E111" s="8" t="n">
        <v>2340</v>
      </c>
      <c r="F111" t="inlineStr">
        <is>
          <t>高橋</t>
        </is>
      </c>
    </row>
    <row r="112">
      <c r="A112" s="11" t="n">
        <v>46156</v>
      </c>
      <c r="B112" t="inlineStr">
        <is>
          <t>P002</t>
        </is>
      </c>
      <c r="C112" t="inlineStr">
        <is>
          <t>穀物</t>
        </is>
      </c>
      <c r="D112" s="8" t="n">
        <v>3</v>
      </c>
      <c r="E112" s="8" t="n">
        <v>7440</v>
      </c>
      <c r="F112" t="inlineStr">
        <is>
          <t>田中</t>
        </is>
      </c>
    </row>
    <row r="113">
      <c r="A113" s="11" t="n">
        <v>46156</v>
      </c>
      <c r="B113" t="inlineStr">
        <is>
          <t>S002</t>
        </is>
      </c>
      <c r="C113" t="inlineStr">
        <is>
          <t>乾物</t>
        </is>
      </c>
      <c r="D113" s="8" t="n">
        <v>5</v>
      </c>
      <c r="E113" s="8" t="n">
        <v>6400</v>
      </c>
      <c r="F113" t="inlineStr">
        <is>
          <t>佐藤</t>
        </is>
      </c>
    </row>
    <row r="114">
      <c r="A114" s="11" t="n">
        <v>46156</v>
      </c>
      <c r="B114" t="inlineStr">
        <is>
          <t>P006</t>
        </is>
      </c>
      <c r="C114" t="inlineStr">
        <is>
          <t>穀物</t>
        </is>
      </c>
      <c r="D114" s="8" t="n">
        <v>2</v>
      </c>
      <c r="E114" s="8" t="n">
        <v>1360</v>
      </c>
      <c r="F114" t="inlineStr">
        <is>
          <t>田中</t>
        </is>
      </c>
    </row>
    <row r="115">
      <c r="A115" s="11" t="n">
        <v>46157</v>
      </c>
      <c r="B115" t="inlineStr">
        <is>
          <t>S001</t>
        </is>
      </c>
      <c r="C115" t="inlineStr">
        <is>
          <t>乾物</t>
        </is>
      </c>
      <c r="D115" s="8" t="n">
        <v>5</v>
      </c>
      <c r="E115" s="8" t="n">
        <v>9900</v>
      </c>
      <c r="F115" t="inlineStr">
        <is>
          <t>佐藤</t>
        </is>
      </c>
    </row>
    <row r="116">
      <c r="A116" s="11" t="n">
        <v>46157</v>
      </c>
      <c r="B116" t="inlineStr">
        <is>
          <t>D002</t>
        </is>
      </c>
      <c r="C116" t="inlineStr">
        <is>
          <t>飲料</t>
        </is>
      </c>
      <c r="D116" s="8" t="n">
        <v>12</v>
      </c>
      <c r="E116" s="8" t="n">
        <v>10560</v>
      </c>
      <c r="F116" t="inlineStr">
        <is>
          <t>鈴木</t>
        </is>
      </c>
    </row>
    <row r="117">
      <c r="A117" s="11" t="n">
        <v>46157</v>
      </c>
      <c r="B117" t="inlineStr">
        <is>
          <t>S003</t>
        </is>
      </c>
      <c r="C117" t="inlineStr">
        <is>
          <t>乾物</t>
        </is>
      </c>
      <c r="D117" s="8" t="n">
        <v>5</v>
      </c>
      <c r="E117" s="8" t="n">
        <v>4900</v>
      </c>
      <c r="F117" t="inlineStr">
        <is>
          <t>鈴木</t>
        </is>
      </c>
    </row>
    <row r="118">
      <c r="A118" s="11" t="n">
        <v>46157</v>
      </c>
      <c r="B118" t="inlineStr">
        <is>
          <t>P007</t>
        </is>
      </c>
      <c r="C118" t="inlineStr">
        <is>
          <t>穀物</t>
        </is>
      </c>
      <c r="D118" s="8" t="n">
        <v>4</v>
      </c>
      <c r="E118" s="8" t="n">
        <v>4720</v>
      </c>
      <c r="F118" t="inlineStr">
        <is>
          <t>渡辺</t>
        </is>
      </c>
    </row>
    <row r="119">
      <c r="A119" s="11" t="n">
        <v>46157</v>
      </c>
      <c r="B119" t="inlineStr">
        <is>
          <t>D005</t>
        </is>
      </c>
      <c r="C119" t="inlineStr">
        <is>
          <t>飲料</t>
        </is>
      </c>
      <c r="D119" s="8" t="n">
        <v>7</v>
      </c>
      <c r="E119" s="8" t="n">
        <v>4060</v>
      </c>
      <c r="F119" t="inlineStr">
        <is>
          <t>渡辺</t>
        </is>
      </c>
    </row>
    <row r="120">
      <c r="A120" s="11" t="n">
        <v>46157</v>
      </c>
      <c r="B120" t="inlineStr">
        <is>
          <t>C002</t>
        </is>
      </c>
      <c r="C120" t="inlineStr">
        <is>
          <t>調味料</t>
        </is>
      </c>
      <c r="D120" s="8" t="n">
        <v>9</v>
      </c>
      <c r="E120" s="8" t="n">
        <v>8820</v>
      </c>
      <c r="F120" t="inlineStr">
        <is>
          <t>渡辺</t>
        </is>
      </c>
    </row>
    <row r="121">
      <c r="A121" s="11" t="n">
        <v>46158</v>
      </c>
      <c r="B121" t="inlineStr">
        <is>
          <t>P009</t>
        </is>
      </c>
      <c r="C121" t="inlineStr">
        <is>
          <t>穀物</t>
        </is>
      </c>
      <c r="D121" s="8" t="n">
        <v>6</v>
      </c>
      <c r="E121" s="8" t="n">
        <v>5880</v>
      </c>
      <c r="F121" t="inlineStr">
        <is>
          <t>渡辺</t>
        </is>
      </c>
    </row>
    <row r="122">
      <c r="A122" s="11" t="n">
        <v>46158</v>
      </c>
      <c r="B122" t="inlineStr">
        <is>
          <t>D002</t>
        </is>
      </c>
      <c r="C122" t="inlineStr">
        <is>
          <t>飲料</t>
        </is>
      </c>
      <c r="D122" s="8" t="n">
        <v>8</v>
      </c>
      <c r="E122" s="8" t="n">
        <v>7040</v>
      </c>
      <c r="F122" t="inlineStr">
        <is>
          <t>渡辺</t>
        </is>
      </c>
    </row>
    <row r="123">
      <c r="A123" s="11" t="n">
        <v>46158</v>
      </c>
      <c r="B123" t="inlineStr">
        <is>
          <t>P006</t>
        </is>
      </c>
      <c r="C123" t="inlineStr">
        <is>
          <t>穀物</t>
        </is>
      </c>
      <c r="D123" s="8" t="n">
        <v>5</v>
      </c>
      <c r="E123" s="8" t="n">
        <v>3400</v>
      </c>
      <c r="F123" t="inlineStr">
        <is>
          <t>高橋</t>
        </is>
      </c>
    </row>
    <row r="124">
      <c r="A124" s="11" t="n">
        <v>46158</v>
      </c>
      <c r="B124" t="inlineStr">
        <is>
          <t>P005</t>
        </is>
      </c>
      <c r="C124" t="inlineStr">
        <is>
          <t>穀物</t>
        </is>
      </c>
      <c r="D124" s="8" t="n">
        <v>9</v>
      </c>
      <c r="E124" s="8" t="n">
        <v>7020</v>
      </c>
      <c r="F124" t="inlineStr">
        <is>
          <t>渡辺</t>
        </is>
      </c>
    </row>
    <row r="125">
      <c r="A125" s="11" t="n">
        <v>46158</v>
      </c>
      <c r="B125" t="inlineStr">
        <is>
          <t>D005</t>
        </is>
      </c>
      <c r="C125" t="inlineStr">
        <is>
          <t>飲料</t>
        </is>
      </c>
      <c r="D125" s="8" t="n">
        <v>9</v>
      </c>
      <c r="E125" s="8" t="n">
        <v>5220</v>
      </c>
      <c r="F125" t="inlineStr">
        <is>
          <t>渡辺</t>
        </is>
      </c>
    </row>
    <row r="126">
      <c r="A126" s="11" t="n">
        <v>46158</v>
      </c>
      <c r="B126" t="inlineStr">
        <is>
          <t>P010</t>
        </is>
      </c>
      <c r="C126" t="inlineStr">
        <is>
          <t>穀物</t>
        </is>
      </c>
      <c r="D126" s="8" t="n">
        <v>7</v>
      </c>
      <c r="E126" s="8" t="n">
        <v>20160</v>
      </c>
      <c r="F126" t="inlineStr">
        <is>
          <t>渡辺</t>
        </is>
      </c>
    </row>
    <row r="127">
      <c r="A127" s="11" t="n">
        <v>46158</v>
      </c>
      <c r="B127" t="inlineStr">
        <is>
          <t>D005</t>
        </is>
      </c>
      <c r="C127" t="inlineStr">
        <is>
          <t>飲料</t>
        </is>
      </c>
      <c r="D127" s="8" t="n">
        <v>10</v>
      </c>
      <c r="E127" s="8" t="n">
        <v>5800</v>
      </c>
      <c r="F127" t="inlineStr">
        <is>
          <t>鈴木</t>
        </is>
      </c>
    </row>
    <row r="128">
      <c r="A128" s="11" t="n">
        <v>46158</v>
      </c>
      <c r="B128" t="inlineStr">
        <is>
          <t>C001</t>
        </is>
      </c>
      <c r="C128" t="inlineStr">
        <is>
          <t>調味料</t>
        </is>
      </c>
      <c r="D128" s="8" t="n">
        <v>5</v>
      </c>
      <c r="E128" s="8" t="n">
        <v>3900</v>
      </c>
      <c r="F128" t="inlineStr">
        <is>
          <t>鈴木</t>
        </is>
      </c>
    </row>
    <row r="129">
      <c r="A129" s="11" t="n">
        <v>46158</v>
      </c>
      <c r="B129" t="inlineStr">
        <is>
          <t>D002</t>
        </is>
      </c>
      <c r="C129" t="inlineStr">
        <is>
          <t>飲料</t>
        </is>
      </c>
      <c r="D129" s="8" t="n">
        <v>11</v>
      </c>
      <c r="E129" s="8" t="n">
        <v>9680</v>
      </c>
      <c r="F129" t="inlineStr">
        <is>
          <t>鈴木</t>
        </is>
      </c>
    </row>
    <row r="130">
      <c r="A130" s="11" t="n">
        <v>46158</v>
      </c>
      <c r="B130" t="inlineStr">
        <is>
          <t>P010</t>
        </is>
      </c>
      <c r="C130" t="inlineStr">
        <is>
          <t>穀物</t>
        </is>
      </c>
      <c r="D130" s="8" t="n">
        <v>5</v>
      </c>
      <c r="E130" s="8" t="n">
        <v>14400</v>
      </c>
      <c r="F130" t="inlineStr">
        <is>
          <t>高橋</t>
        </is>
      </c>
    </row>
    <row r="131">
      <c r="A131" s="11" t="n">
        <v>46159</v>
      </c>
      <c r="B131" t="inlineStr">
        <is>
          <t>C001</t>
        </is>
      </c>
      <c r="C131" t="inlineStr">
        <is>
          <t>調味料</t>
        </is>
      </c>
      <c r="D131" s="8" t="n">
        <v>3</v>
      </c>
      <c r="E131" s="8" t="n">
        <v>2340</v>
      </c>
      <c r="F131" t="inlineStr">
        <is>
          <t>佐藤</t>
        </is>
      </c>
    </row>
    <row r="132">
      <c r="A132" s="11" t="n">
        <v>46159</v>
      </c>
      <c r="B132" t="inlineStr">
        <is>
          <t>P008</t>
        </is>
      </c>
      <c r="C132" t="inlineStr">
        <is>
          <t>穀物</t>
        </is>
      </c>
      <c r="D132" s="8" t="n">
        <v>12</v>
      </c>
      <c r="E132" s="8" t="n">
        <v>15360</v>
      </c>
      <c r="F132" t="inlineStr">
        <is>
          <t>佐藤</t>
        </is>
      </c>
    </row>
    <row r="133">
      <c r="A133" s="11" t="n">
        <v>46159</v>
      </c>
      <c r="B133" t="inlineStr">
        <is>
          <t>P005</t>
        </is>
      </c>
      <c r="C133" t="inlineStr">
        <is>
          <t>穀物</t>
        </is>
      </c>
      <c r="D133" s="8" t="n">
        <v>1</v>
      </c>
      <c r="E133" s="8" t="n">
        <v>780</v>
      </c>
      <c r="F133" t="inlineStr">
        <is>
          <t>田中</t>
        </is>
      </c>
    </row>
    <row r="134">
      <c r="A134" s="11" t="n">
        <v>46159</v>
      </c>
      <c r="B134" t="inlineStr">
        <is>
          <t>S003</t>
        </is>
      </c>
      <c r="C134" t="inlineStr">
        <is>
          <t>乾物</t>
        </is>
      </c>
      <c r="D134" s="8" t="n">
        <v>5</v>
      </c>
      <c r="E134" s="8" t="n">
        <v>4900</v>
      </c>
      <c r="F134" t="inlineStr">
        <is>
          <t>渡辺</t>
        </is>
      </c>
    </row>
    <row r="135">
      <c r="A135" s="11" t="n">
        <v>46159</v>
      </c>
      <c r="B135" t="inlineStr">
        <is>
          <t>D002</t>
        </is>
      </c>
      <c r="C135" t="inlineStr">
        <is>
          <t>飲料</t>
        </is>
      </c>
      <c r="D135" s="8" t="n">
        <v>7</v>
      </c>
      <c r="E135" s="8" t="n">
        <v>6160</v>
      </c>
      <c r="F135" t="inlineStr">
        <is>
          <t>鈴木</t>
        </is>
      </c>
    </row>
    <row r="136">
      <c r="A136" s="11" t="n">
        <v>46159</v>
      </c>
      <c r="B136" t="inlineStr">
        <is>
          <t>C001</t>
        </is>
      </c>
      <c r="C136" t="inlineStr">
        <is>
          <t>調味料</t>
        </is>
      </c>
      <c r="D136" s="8" t="n">
        <v>9</v>
      </c>
      <c r="E136" s="8" t="n">
        <v>7020</v>
      </c>
      <c r="F136" t="inlineStr">
        <is>
          <t>佐藤</t>
        </is>
      </c>
    </row>
    <row r="137">
      <c r="A137" s="11" t="n">
        <v>46159</v>
      </c>
      <c r="B137" t="inlineStr">
        <is>
          <t>P010</t>
        </is>
      </c>
      <c r="C137" t="inlineStr">
        <is>
          <t>穀物</t>
        </is>
      </c>
      <c r="D137" s="8" t="n">
        <v>1</v>
      </c>
      <c r="E137" s="8" t="n">
        <v>2880</v>
      </c>
      <c r="F137" t="inlineStr">
        <is>
          <t>鈴木</t>
        </is>
      </c>
    </row>
    <row r="138">
      <c r="A138" s="11" t="n">
        <v>46159</v>
      </c>
      <c r="B138" t="inlineStr">
        <is>
          <t>C002</t>
        </is>
      </c>
      <c r="C138" t="inlineStr">
        <is>
          <t>調味料</t>
        </is>
      </c>
      <c r="D138" s="8" t="n">
        <v>6</v>
      </c>
      <c r="E138" s="8" t="n">
        <v>5880</v>
      </c>
      <c r="F138" t="inlineStr">
        <is>
          <t>高橋</t>
        </is>
      </c>
    </row>
    <row r="139">
      <c r="A139" s="11" t="n">
        <v>46160</v>
      </c>
      <c r="B139" t="inlineStr">
        <is>
          <t>P005</t>
        </is>
      </c>
      <c r="C139" t="inlineStr">
        <is>
          <t>穀物</t>
        </is>
      </c>
      <c r="D139" s="8" t="n">
        <v>1</v>
      </c>
      <c r="E139" s="8" t="n">
        <v>780</v>
      </c>
      <c r="F139" t="inlineStr">
        <is>
          <t>田中</t>
        </is>
      </c>
    </row>
    <row r="140">
      <c r="A140" s="11" t="n">
        <v>46160</v>
      </c>
      <c r="B140" t="inlineStr">
        <is>
          <t>S002</t>
        </is>
      </c>
      <c r="C140" t="inlineStr">
        <is>
          <t>乾物</t>
        </is>
      </c>
      <c r="D140" s="8" t="n">
        <v>10</v>
      </c>
      <c r="E140" s="8" t="n">
        <v>12800</v>
      </c>
      <c r="F140" t="inlineStr">
        <is>
          <t>佐藤</t>
        </is>
      </c>
    </row>
    <row r="141">
      <c r="A141" s="11" t="n">
        <v>46160</v>
      </c>
      <c r="B141" t="inlineStr">
        <is>
          <t>C001</t>
        </is>
      </c>
      <c r="C141" t="inlineStr">
        <is>
          <t>調味料</t>
        </is>
      </c>
      <c r="D141" s="8" t="n">
        <v>12</v>
      </c>
      <c r="E141" s="8" t="n">
        <v>9360</v>
      </c>
      <c r="F141" t="inlineStr">
        <is>
          <t>田中</t>
        </is>
      </c>
    </row>
    <row r="142">
      <c r="A142" s="11" t="n">
        <v>46160</v>
      </c>
      <c r="B142" t="inlineStr">
        <is>
          <t>P009</t>
        </is>
      </c>
      <c r="C142" t="inlineStr">
        <is>
          <t>穀物</t>
        </is>
      </c>
      <c r="D142" s="8" t="n">
        <v>4</v>
      </c>
      <c r="E142" s="8" t="n">
        <v>3920</v>
      </c>
      <c r="F142" t="inlineStr">
        <is>
          <t>高橋</t>
        </is>
      </c>
    </row>
    <row r="143">
      <c r="A143" s="11" t="n">
        <v>46160</v>
      </c>
      <c r="B143" t="inlineStr">
        <is>
          <t>P005</t>
        </is>
      </c>
      <c r="C143" t="inlineStr">
        <is>
          <t>穀物</t>
        </is>
      </c>
      <c r="D143" s="8" t="n">
        <v>12</v>
      </c>
      <c r="E143" s="8" t="n">
        <v>9360</v>
      </c>
      <c r="F143" t="inlineStr">
        <is>
          <t>渡辺</t>
        </is>
      </c>
    </row>
    <row r="144">
      <c r="A144" s="11" t="n">
        <v>46161</v>
      </c>
      <c r="B144" t="inlineStr">
        <is>
          <t>P005</t>
        </is>
      </c>
      <c r="C144" t="inlineStr">
        <is>
          <t>穀物</t>
        </is>
      </c>
      <c r="D144" s="8" t="n">
        <v>11</v>
      </c>
      <c r="E144" s="8" t="n">
        <v>8580</v>
      </c>
      <c r="F144" t="inlineStr">
        <is>
          <t>田中</t>
        </is>
      </c>
    </row>
    <row r="145">
      <c r="A145" s="11" t="n">
        <v>46161</v>
      </c>
      <c r="B145" t="inlineStr">
        <is>
          <t>S001</t>
        </is>
      </c>
      <c r="C145" t="inlineStr">
        <is>
          <t>乾物</t>
        </is>
      </c>
      <c r="D145" s="8" t="n">
        <v>11</v>
      </c>
      <c r="E145" s="8" t="n">
        <v>21780</v>
      </c>
      <c r="F145" t="inlineStr">
        <is>
          <t>鈴木</t>
        </is>
      </c>
    </row>
    <row r="146">
      <c r="A146" s="11" t="n">
        <v>46161</v>
      </c>
      <c r="B146" t="inlineStr">
        <is>
          <t>P003</t>
        </is>
      </c>
      <c r="C146" t="inlineStr">
        <is>
          <t>穀物</t>
        </is>
      </c>
      <c r="D146" s="8" t="n">
        <v>6</v>
      </c>
      <c r="E146" s="8" t="n">
        <v>7680</v>
      </c>
      <c r="F146" t="inlineStr">
        <is>
          <t>佐藤</t>
        </is>
      </c>
    </row>
    <row r="147">
      <c r="A147" s="11" t="n">
        <v>46161</v>
      </c>
      <c r="B147" t="inlineStr">
        <is>
          <t>P007</t>
        </is>
      </c>
      <c r="C147" t="inlineStr">
        <is>
          <t>穀物</t>
        </is>
      </c>
      <c r="D147" s="8" t="n">
        <v>11</v>
      </c>
      <c r="E147" s="8" t="n">
        <v>12980</v>
      </c>
      <c r="F147" t="inlineStr">
        <is>
          <t>渡辺</t>
        </is>
      </c>
    </row>
    <row r="148">
      <c r="A148" s="11" t="n">
        <v>46161</v>
      </c>
      <c r="B148" t="inlineStr">
        <is>
          <t>C001</t>
        </is>
      </c>
      <c r="C148" t="inlineStr">
        <is>
          <t>調味料</t>
        </is>
      </c>
      <c r="D148" s="8" t="n">
        <v>1</v>
      </c>
      <c r="E148" s="8" t="n">
        <v>780</v>
      </c>
      <c r="F148" t="inlineStr">
        <is>
          <t>高橋</t>
        </is>
      </c>
    </row>
    <row r="149">
      <c r="A149" s="11" t="n">
        <v>46161</v>
      </c>
      <c r="B149" t="inlineStr">
        <is>
          <t>P010</t>
        </is>
      </c>
      <c r="C149" t="inlineStr">
        <is>
          <t>穀物</t>
        </is>
      </c>
      <c r="D149" s="8" t="n">
        <v>10</v>
      </c>
      <c r="E149" s="8" t="n">
        <v>28800</v>
      </c>
      <c r="F149" t="inlineStr">
        <is>
          <t>渡辺</t>
        </is>
      </c>
    </row>
    <row r="150">
      <c r="A150" s="11" t="n">
        <v>46161</v>
      </c>
      <c r="B150" t="inlineStr">
        <is>
          <t>P001</t>
        </is>
      </c>
      <c r="C150" t="inlineStr">
        <is>
          <t>穀物</t>
        </is>
      </c>
      <c r="D150" s="8" t="n">
        <v>1</v>
      </c>
      <c r="E150" s="8" t="n">
        <v>1980</v>
      </c>
      <c r="F150" t="inlineStr">
        <is>
          <t>高橋</t>
        </is>
      </c>
    </row>
    <row r="151">
      <c r="A151" s="11" t="n">
        <v>46162</v>
      </c>
      <c r="B151" t="inlineStr">
        <is>
          <t>C002</t>
        </is>
      </c>
      <c r="C151" t="inlineStr">
        <is>
          <t>調味料</t>
        </is>
      </c>
      <c r="D151" s="8" t="n">
        <v>1</v>
      </c>
      <c r="E151" s="8" t="n">
        <v>980</v>
      </c>
      <c r="F151" t="inlineStr">
        <is>
          <t>渡辺</t>
        </is>
      </c>
    </row>
    <row r="152">
      <c r="A152" s="11" t="n">
        <v>46162</v>
      </c>
      <c r="B152" t="inlineStr">
        <is>
          <t>P001</t>
        </is>
      </c>
      <c r="C152" t="inlineStr">
        <is>
          <t>穀物</t>
        </is>
      </c>
      <c r="D152" s="8" t="n">
        <v>7</v>
      </c>
      <c r="E152" s="8" t="n">
        <v>13860</v>
      </c>
      <c r="F152" t="inlineStr">
        <is>
          <t>高橋</t>
        </is>
      </c>
    </row>
    <row r="153">
      <c r="A153" s="11" t="n">
        <v>46162</v>
      </c>
      <c r="B153" t="inlineStr">
        <is>
          <t>P003</t>
        </is>
      </c>
      <c r="C153" t="inlineStr">
        <is>
          <t>穀物</t>
        </is>
      </c>
      <c r="D153" s="8" t="n">
        <v>4</v>
      </c>
      <c r="E153" s="8" t="n">
        <v>5120</v>
      </c>
      <c r="F153" t="inlineStr">
        <is>
          <t>田中</t>
        </is>
      </c>
    </row>
    <row r="154">
      <c r="A154" s="11" t="n">
        <v>46162</v>
      </c>
      <c r="B154" t="inlineStr">
        <is>
          <t>P003</t>
        </is>
      </c>
      <c r="C154" t="inlineStr">
        <is>
          <t>穀物</t>
        </is>
      </c>
      <c r="D154" s="8" t="n">
        <v>10</v>
      </c>
      <c r="E154" s="8" t="n">
        <v>12800</v>
      </c>
      <c r="F154" t="inlineStr">
        <is>
          <t>渡辺</t>
        </is>
      </c>
    </row>
    <row r="155">
      <c r="A155" s="11" t="n">
        <v>46162</v>
      </c>
      <c r="B155" t="inlineStr">
        <is>
          <t>C001</t>
        </is>
      </c>
      <c r="C155" t="inlineStr">
        <is>
          <t>調味料</t>
        </is>
      </c>
      <c r="D155" s="8" t="n">
        <v>12</v>
      </c>
      <c r="E155" s="8" t="n">
        <v>9360</v>
      </c>
      <c r="F155" t="inlineStr">
        <is>
          <t>鈴木</t>
        </is>
      </c>
    </row>
    <row r="156">
      <c r="A156" s="11" t="n">
        <v>46162</v>
      </c>
      <c r="B156" t="inlineStr">
        <is>
          <t>S003</t>
        </is>
      </c>
      <c r="C156" t="inlineStr">
        <is>
          <t>乾物</t>
        </is>
      </c>
      <c r="D156" s="8" t="n">
        <v>9</v>
      </c>
      <c r="E156" s="8" t="n">
        <v>8820</v>
      </c>
      <c r="F156" t="inlineStr">
        <is>
          <t>佐藤</t>
        </is>
      </c>
    </row>
    <row r="157">
      <c r="A157" s="11" t="n">
        <v>46163</v>
      </c>
      <c r="B157" t="inlineStr">
        <is>
          <t>P005</t>
        </is>
      </c>
      <c r="C157" t="inlineStr">
        <is>
          <t>穀物</t>
        </is>
      </c>
      <c r="D157" s="8" t="n">
        <v>6</v>
      </c>
      <c r="E157" s="8" t="n">
        <v>4680</v>
      </c>
      <c r="F157" t="inlineStr">
        <is>
          <t>高橋</t>
        </is>
      </c>
    </row>
    <row r="158">
      <c r="A158" s="11" t="n">
        <v>46163</v>
      </c>
      <c r="B158" t="inlineStr">
        <is>
          <t>D005</t>
        </is>
      </c>
      <c r="C158" t="inlineStr">
        <is>
          <t>飲料</t>
        </is>
      </c>
      <c r="D158" s="8" t="n">
        <v>3</v>
      </c>
      <c r="E158" s="8" t="n">
        <v>1740</v>
      </c>
      <c r="F158" t="inlineStr">
        <is>
          <t>鈴木</t>
        </is>
      </c>
    </row>
    <row r="159">
      <c r="A159" s="11" t="n">
        <v>46163</v>
      </c>
      <c r="B159" t="inlineStr">
        <is>
          <t>D001</t>
        </is>
      </c>
      <c r="C159" t="inlineStr">
        <is>
          <t>飲料</t>
        </is>
      </c>
      <c r="D159" s="8" t="n">
        <v>4</v>
      </c>
      <c r="E159" s="8" t="n">
        <v>3920</v>
      </c>
      <c r="F159" t="inlineStr">
        <is>
          <t>高橋</t>
        </is>
      </c>
    </row>
    <row r="160">
      <c r="A160" s="11" t="n">
        <v>46163</v>
      </c>
      <c r="B160" t="inlineStr">
        <is>
          <t>P002</t>
        </is>
      </c>
      <c r="C160" t="inlineStr">
        <is>
          <t>穀物</t>
        </is>
      </c>
      <c r="D160" s="8" t="n">
        <v>8</v>
      </c>
      <c r="E160" s="8" t="n">
        <v>19840</v>
      </c>
      <c r="F160" t="inlineStr">
        <is>
          <t>田中</t>
        </is>
      </c>
    </row>
    <row r="161">
      <c r="A161" s="11" t="n">
        <v>46163</v>
      </c>
      <c r="B161" t="inlineStr">
        <is>
          <t>P003</t>
        </is>
      </c>
      <c r="C161" t="inlineStr">
        <is>
          <t>穀物</t>
        </is>
      </c>
      <c r="D161" s="8" t="n">
        <v>12</v>
      </c>
      <c r="E161" s="8" t="n">
        <v>15360</v>
      </c>
      <c r="F161" t="inlineStr">
        <is>
          <t>佐藤</t>
        </is>
      </c>
    </row>
    <row r="162">
      <c r="A162" s="11" t="n">
        <v>46163</v>
      </c>
      <c r="B162" t="inlineStr">
        <is>
          <t>C001</t>
        </is>
      </c>
      <c r="C162" t="inlineStr">
        <is>
          <t>調味料</t>
        </is>
      </c>
      <c r="D162" s="8" t="n">
        <v>1</v>
      </c>
      <c r="E162" s="8" t="n">
        <v>780</v>
      </c>
      <c r="F162" t="inlineStr">
        <is>
          <t>渡辺</t>
        </is>
      </c>
    </row>
    <row r="163">
      <c r="A163" s="11" t="n">
        <v>46163</v>
      </c>
      <c r="B163" t="inlineStr">
        <is>
          <t>P004</t>
        </is>
      </c>
      <c r="C163" t="inlineStr">
        <is>
          <t>穀物</t>
        </is>
      </c>
      <c r="D163" s="8" t="n">
        <v>2</v>
      </c>
      <c r="E163" s="8" t="n">
        <v>3160</v>
      </c>
      <c r="F163" t="inlineStr">
        <is>
          <t>鈴木</t>
        </is>
      </c>
    </row>
    <row r="164">
      <c r="A164" s="11" t="n">
        <v>46163</v>
      </c>
      <c r="B164" t="inlineStr">
        <is>
          <t>D001</t>
        </is>
      </c>
      <c r="C164" t="inlineStr">
        <is>
          <t>飲料</t>
        </is>
      </c>
      <c r="D164" s="8" t="n">
        <v>1</v>
      </c>
      <c r="E164" s="8" t="n">
        <v>980</v>
      </c>
      <c r="F164" t="inlineStr">
        <is>
          <t>渡辺</t>
        </is>
      </c>
    </row>
    <row r="165">
      <c r="A165" s="11" t="n">
        <v>46163</v>
      </c>
      <c r="B165" t="inlineStr">
        <is>
          <t>D003</t>
        </is>
      </c>
      <c r="C165" t="inlineStr">
        <is>
          <t>飲料</t>
        </is>
      </c>
      <c r="D165" s="8" t="n">
        <v>5</v>
      </c>
      <c r="E165" s="8" t="n">
        <v>5400</v>
      </c>
      <c r="F165" t="inlineStr">
        <is>
          <t>田中</t>
        </is>
      </c>
    </row>
    <row r="166">
      <c r="A166" s="11" t="n">
        <v>46164</v>
      </c>
      <c r="B166" t="inlineStr">
        <is>
          <t>P004</t>
        </is>
      </c>
      <c r="C166" t="inlineStr">
        <is>
          <t>穀物</t>
        </is>
      </c>
      <c r="D166" s="8" t="n">
        <v>12</v>
      </c>
      <c r="E166" s="8" t="n">
        <v>18960</v>
      </c>
      <c r="F166" t="inlineStr">
        <is>
          <t>渡辺</t>
        </is>
      </c>
    </row>
    <row r="167">
      <c r="A167" s="11" t="n">
        <v>46164</v>
      </c>
      <c r="B167" t="inlineStr">
        <is>
          <t>D004</t>
        </is>
      </c>
      <c r="C167" t="inlineStr">
        <is>
          <t>飲料</t>
        </is>
      </c>
      <c r="D167" s="8" t="n">
        <v>5</v>
      </c>
      <c r="E167" s="8" t="n">
        <v>7400</v>
      </c>
      <c r="F167" t="inlineStr">
        <is>
          <t>田中</t>
        </is>
      </c>
    </row>
    <row r="168">
      <c r="A168" s="11" t="n">
        <v>46164</v>
      </c>
      <c r="B168" t="inlineStr">
        <is>
          <t>C002</t>
        </is>
      </c>
      <c r="C168" t="inlineStr">
        <is>
          <t>調味料</t>
        </is>
      </c>
      <c r="D168" s="8" t="n">
        <v>8</v>
      </c>
      <c r="E168" s="8" t="n">
        <v>7840</v>
      </c>
      <c r="F168" t="inlineStr">
        <is>
          <t>鈴木</t>
        </is>
      </c>
    </row>
    <row r="169">
      <c r="A169" s="11" t="n">
        <v>46164</v>
      </c>
      <c r="B169" t="inlineStr">
        <is>
          <t>P003</t>
        </is>
      </c>
      <c r="C169" t="inlineStr">
        <is>
          <t>穀物</t>
        </is>
      </c>
      <c r="D169" s="8" t="n">
        <v>2</v>
      </c>
      <c r="E169" s="8" t="n">
        <v>2560</v>
      </c>
      <c r="F169" t="inlineStr">
        <is>
          <t>田中</t>
        </is>
      </c>
    </row>
    <row r="170">
      <c r="A170" s="11" t="n">
        <v>46164</v>
      </c>
      <c r="B170" t="inlineStr">
        <is>
          <t>D005</t>
        </is>
      </c>
      <c r="C170" t="inlineStr">
        <is>
          <t>飲料</t>
        </is>
      </c>
      <c r="D170" s="8" t="n">
        <v>1</v>
      </c>
      <c r="E170" s="8" t="n">
        <v>580</v>
      </c>
      <c r="F170" t="inlineStr">
        <is>
          <t>田中</t>
        </is>
      </c>
    </row>
    <row r="171">
      <c r="A171" s="11" t="n">
        <v>46165</v>
      </c>
      <c r="B171" t="inlineStr">
        <is>
          <t>P008</t>
        </is>
      </c>
      <c r="C171" t="inlineStr">
        <is>
          <t>穀物</t>
        </is>
      </c>
      <c r="D171" s="8" t="n">
        <v>8</v>
      </c>
      <c r="E171" s="8" t="n">
        <v>10240</v>
      </c>
      <c r="F171" t="inlineStr">
        <is>
          <t>渡辺</t>
        </is>
      </c>
    </row>
    <row r="172">
      <c r="A172" s="11" t="n">
        <v>46165</v>
      </c>
      <c r="B172" t="inlineStr">
        <is>
          <t>P006</t>
        </is>
      </c>
      <c r="C172" t="inlineStr">
        <is>
          <t>穀物</t>
        </is>
      </c>
      <c r="D172" s="8" t="n">
        <v>1</v>
      </c>
      <c r="E172" s="8" t="n">
        <v>680</v>
      </c>
      <c r="F172" t="inlineStr">
        <is>
          <t>田中</t>
        </is>
      </c>
    </row>
    <row r="173">
      <c r="A173" s="11" t="n">
        <v>46165</v>
      </c>
      <c r="B173" t="inlineStr">
        <is>
          <t>S003</t>
        </is>
      </c>
      <c r="C173" t="inlineStr">
        <is>
          <t>乾物</t>
        </is>
      </c>
      <c r="D173" s="8" t="n">
        <v>4</v>
      </c>
      <c r="E173" s="8" t="n">
        <v>3920</v>
      </c>
      <c r="F173" t="inlineStr">
        <is>
          <t>渡辺</t>
        </is>
      </c>
    </row>
    <row r="174">
      <c r="A174" s="11" t="n">
        <v>46165</v>
      </c>
      <c r="B174" t="inlineStr">
        <is>
          <t>S002</t>
        </is>
      </c>
      <c r="C174" t="inlineStr">
        <is>
          <t>乾物</t>
        </is>
      </c>
      <c r="D174" s="8" t="n">
        <v>5</v>
      </c>
      <c r="E174" s="8" t="n">
        <v>6400</v>
      </c>
      <c r="F174" t="inlineStr">
        <is>
          <t>田中</t>
        </is>
      </c>
    </row>
    <row r="175">
      <c r="A175" s="11" t="n">
        <v>46165</v>
      </c>
      <c r="B175" t="inlineStr">
        <is>
          <t>D001</t>
        </is>
      </c>
      <c r="C175" t="inlineStr">
        <is>
          <t>飲料</t>
        </is>
      </c>
      <c r="D175" s="8" t="n">
        <v>5</v>
      </c>
      <c r="E175" s="8" t="n">
        <v>4900</v>
      </c>
      <c r="F175" t="inlineStr">
        <is>
          <t>佐藤</t>
        </is>
      </c>
    </row>
    <row r="176">
      <c r="A176" s="11" t="n">
        <v>46166</v>
      </c>
      <c r="B176" t="inlineStr">
        <is>
          <t>C002</t>
        </is>
      </c>
      <c r="C176" t="inlineStr">
        <is>
          <t>調味料</t>
        </is>
      </c>
      <c r="D176" s="8" t="n">
        <v>10</v>
      </c>
      <c r="E176" s="8" t="n">
        <v>9800</v>
      </c>
      <c r="F176" t="inlineStr">
        <is>
          <t>田中</t>
        </is>
      </c>
    </row>
    <row r="177">
      <c r="A177" s="11" t="n">
        <v>46166</v>
      </c>
      <c r="B177" t="inlineStr">
        <is>
          <t>S001</t>
        </is>
      </c>
      <c r="C177" t="inlineStr">
        <is>
          <t>乾物</t>
        </is>
      </c>
      <c r="D177" s="8" t="n">
        <v>7</v>
      </c>
      <c r="E177" s="8" t="n">
        <v>13860</v>
      </c>
      <c r="F177" t="inlineStr">
        <is>
          <t>高橋</t>
        </is>
      </c>
    </row>
    <row r="178">
      <c r="A178" s="11" t="n">
        <v>46166</v>
      </c>
      <c r="B178" t="inlineStr">
        <is>
          <t>D003</t>
        </is>
      </c>
      <c r="C178" t="inlineStr">
        <is>
          <t>飲料</t>
        </is>
      </c>
      <c r="D178" s="8" t="n">
        <v>6</v>
      </c>
      <c r="E178" s="8" t="n">
        <v>6480</v>
      </c>
      <c r="F178" t="inlineStr">
        <is>
          <t>鈴木</t>
        </is>
      </c>
    </row>
    <row r="179">
      <c r="A179" s="11" t="n">
        <v>46166</v>
      </c>
      <c r="B179" t="inlineStr">
        <is>
          <t>S001</t>
        </is>
      </c>
      <c r="C179" t="inlineStr">
        <is>
          <t>乾物</t>
        </is>
      </c>
      <c r="D179" s="8" t="n">
        <v>10</v>
      </c>
      <c r="E179" s="8" t="n">
        <v>19800</v>
      </c>
      <c r="F179" t="inlineStr">
        <is>
          <t>渡辺</t>
        </is>
      </c>
    </row>
    <row r="180">
      <c r="A180" s="11" t="n">
        <v>46166</v>
      </c>
      <c r="B180" t="inlineStr">
        <is>
          <t>S002</t>
        </is>
      </c>
      <c r="C180" t="inlineStr">
        <is>
          <t>乾物</t>
        </is>
      </c>
      <c r="D180" s="8" t="n">
        <v>5</v>
      </c>
      <c r="E180" s="8" t="n">
        <v>6400</v>
      </c>
      <c r="F180" t="inlineStr">
        <is>
          <t>田中</t>
        </is>
      </c>
    </row>
    <row r="181">
      <c r="A181" s="11" t="n">
        <v>46167</v>
      </c>
      <c r="B181" t="inlineStr">
        <is>
          <t>D004</t>
        </is>
      </c>
      <c r="C181" t="inlineStr">
        <is>
          <t>飲料</t>
        </is>
      </c>
      <c r="D181" s="8" t="n">
        <v>2</v>
      </c>
      <c r="E181" s="8" t="n">
        <v>2960</v>
      </c>
      <c r="F181" t="inlineStr">
        <is>
          <t>鈴木</t>
        </is>
      </c>
    </row>
    <row r="182">
      <c r="A182" s="11" t="n">
        <v>46167</v>
      </c>
      <c r="B182" t="inlineStr">
        <is>
          <t>P001</t>
        </is>
      </c>
      <c r="C182" t="inlineStr">
        <is>
          <t>穀物</t>
        </is>
      </c>
      <c r="D182" s="8" t="n">
        <v>2</v>
      </c>
      <c r="E182" s="8" t="n">
        <v>3960</v>
      </c>
      <c r="F182" t="inlineStr">
        <is>
          <t>高橋</t>
        </is>
      </c>
    </row>
    <row r="183">
      <c r="A183" s="11" t="n">
        <v>46167</v>
      </c>
      <c r="B183" t="inlineStr">
        <is>
          <t>P002</t>
        </is>
      </c>
      <c r="C183" t="inlineStr">
        <is>
          <t>穀物</t>
        </is>
      </c>
      <c r="D183" s="8" t="n">
        <v>7</v>
      </c>
      <c r="E183" s="8" t="n">
        <v>17360</v>
      </c>
      <c r="F183" t="inlineStr">
        <is>
          <t>高橋</t>
        </is>
      </c>
    </row>
    <row r="184">
      <c r="A184" s="11" t="n">
        <v>46167</v>
      </c>
      <c r="B184" t="inlineStr">
        <is>
          <t>P002</t>
        </is>
      </c>
      <c r="C184" t="inlineStr">
        <is>
          <t>穀物</t>
        </is>
      </c>
      <c r="D184" s="8" t="n">
        <v>5</v>
      </c>
      <c r="E184" s="8" t="n">
        <v>12400</v>
      </c>
      <c r="F184" t="inlineStr">
        <is>
          <t>佐藤</t>
        </is>
      </c>
    </row>
    <row r="185">
      <c r="A185" s="11" t="n">
        <v>46167</v>
      </c>
      <c r="B185" t="inlineStr">
        <is>
          <t>D003</t>
        </is>
      </c>
      <c r="C185" t="inlineStr">
        <is>
          <t>飲料</t>
        </is>
      </c>
      <c r="D185" s="8" t="n">
        <v>4</v>
      </c>
      <c r="E185" s="8" t="n">
        <v>4320</v>
      </c>
      <c r="F185" t="inlineStr">
        <is>
          <t>高橋</t>
        </is>
      </c>
    </row>
    <row r="186">
      <c r="A186" s="11" t="n">
        <v>46167</v>
      </c>
      <c r="B186" t="inlineStr">
        <is>
          <t>C001</t>
        </is>
      </c>
      <c r="C186" t="inlineStr">
        <is>
          <t>調味料</t>
        </is>
      </c>
      <c r="D186" s="8" t="n">
        <v>7</v>
      </c>
      <c r="E186" s="8" t="n">
        <v>5460</v>
      </c>
      <c r="F186" t="inlineStr">
        <is>
          <t>高橋</t>
        </is>
      </c>
    </row>
    <row r="187">
      <c r="A187" s="11" t="n">
        <v>46167</v>
      </c>
      <c r="B187" t="inlineStr">
        <is>
          <t>P008</t>
        </is>
      </c>
      <c r="C187" t="inlineStr">
        <is>
          <t>穀物</t>
        </is>
      </c>
      <c r="D187" s="8" t="n">
        <v>10</v>
      </c>
      <c r="E187" s="8" t="n">
        <v>12800</v>
      </c>
      <c r="F187" t="inlineStr">
        <is>
          <t>田中</t>
        </is>
      </c>
    </row>
    <row r="188">
      <c r="A188" s="11" t="n">
        <v>46168</v>
      </c>
      <c r="B188" t="inlineStr">
        <is>
          <t>P003</t>
        </is>
      </c>
      <c r="C188" t="inlineStr">
        <is>
          <t>穀物</t>
        </is>
      </c>
      <c r="D188" s="8" t="n">
        <v>4</v>
      </c>
      <c r="E188" s="8" t="n">
        <v>5120</v>
      </c>
      <c r="F188" t="inlineStr">
        <is>
          <t>佐藤</t>
        </is>
      </c>
    </row>
    <row r="189">
      <c r="A189" s="11" t="n">
        <v>46168</v>
      </c>
      <c r="B189" t="inlineStr">
        <is>
          <t>S001</t>
        </is>
      </c>
      <c r="C189" t="inlineStr">
        <is>
          <t>乾物</t>
        </is>
      </c>
      <c r="D189" s="8" t="n">
        <v>12</v>
      </c>
      <c r="E189" s="8" t="n">
        <v>23760</v>
      </c>
      <c r="F189" t="inlineStr">
        <is>
          <t>田中</t>
        </is>
      </c>
    </row>
    <row r="190">
      <c r="A190" s="11" t="n">
        <v>46168</v>
      </c>
      <c r="B190" t="inlineStr">
        <is>
          <t>P001</t>
        </is>
      </c>
      <c r="C190" t="inlineStr">
        <is>
          <t>穀物</t>
        </is>
      </c>
      <c r="D190" s="8" t="n">
        <v>11</v>
      </c>
      <c r="E190" s="8" t="n">
        <v>21780</v>
      </c>
      <c r="F190" t="inlineStr">
        <is>
          <t>佐藤</t>
        </is>
      </c>
    </row>
    <row r="191">
      <c r="A191" s="11" t="n">
        <v>46168</v>
      </c>
      <c r="B191" t="inlineStr">
        <is>
          <t>P009</t>
        </is>
      </c>
      <c r="C191" t="inlineStr">
        <is>
          <t>穀物</t>
        </is>
      </c>
      <c r="D191" s="8" t="n">
        <v>8</v>
      </c>
      <c r="E191" s="8" t="n">
        <v>7840</v>
      </c>
      <c r="F191" t="inlineStr">
        <is>
          <t>田中</t>
        </is>
      </c>
    </row>
    <row r="192">
      <c r="A192" s="11" t="n">
        <v>46168</v>
      </c>
      <c r="B192" t="inlineStr">
        <is>
          <t>C001</t>
        </is>
      </c>
      <c r="C192" t="inlineStr">
        <is>
          <t>調味料</t>
        </is>
      </c>
      <c r="D192" s="8" t="n">
        <v>4</v>
      </c>
      <c r="E192" s="8" t="n">
        <v>3120</v>
      </c>
      <c r="F192" t="inlineStr">
        <is>
          <t>鈴木</t>
        </is>
      </c>
    </row>
    <row r="193">
      <c r="A193" s="11" t="n">
        <v>46168</v>
      </c>
      <c r="B193" t="inlineStr">
        <is>
          <t>P004</t>
        </is>
      </c>
      <c r="C193" t="inlineStr">
        <is>
          <t>穀物</t>
        </is>
      </c>
      <c r="D193" s="8" t="n">
        <v>12</v>
      </c>
      <c r="E193" s="8" t="n">
        <v>18960</v>
      </c>
      <c r="F193" t="inlineStr">
        <is>
          <t>渡辺</t>
        </is>
      </c>
    </row>
    <row r="194">
      <c r="A194" s="11" t="n">
        <v>46168</v>
      </c>
      <c r="B194" t="inlineStr">
        <is>
          <t>P008</t>
        </is>
      </c>
      <c r="C194" t="inlineStr">
        <is>
          <t>穀物</t>
        </is>
      </c>
      <c r="D194" s="8" t="n">
        <v>12</v>
      </c>
      <c r="E194" s="8" t="n">
        <v>15360</v>
      </c>
      <c r="F194" t="inlineStr">
        <is>
          <t>田中</t>
        </is>
      </c>
    </row>
    <row r="195">
      <c r="A195" s="11" t="n">
        <v>46168</v>
      </c>
      <c r="B195" t="inlineStr">
        <is>
          <t>D003</t>
        </is>
      </c>
      <c r="C195" t="inlineStr">
        <is>
          <t>飲料</t>
        </is>
      </c>
      <c r="D195" s="8" t="n">
        <v>6</v>
      </c>
      <c r="E195" s="8" t="n">
        <v>6480</v>
      </c>
      <c r="F195" t="inlineStr">
        <is>
          <t>佐藤</t>
        </is>
      </c>
    </row>
    <row r="196">
      <c r="A196" s="11" t="n">
        <v>46168</v>
      </c>
      <c r="B196" t="inlineStr">
        <is>
          <t>P007</t>
        </is>
      </c>
      <c r="C196" t="inlineStr">
        <is>
          <t>穀物</t>
        </is>
      </c>
      <c r="D196" s="8" t="n">
        <v>4</v>
      </c>
      <c r="E196" s="8" t="n">
        <v>4720</v>
      </c>
      <c r="F196" t="inlineStr">
        <is>
          <t>鈴木</t>
        </is>
      </c>
    </row>
    <row r="197">
      <c r="A197" s="11" t="n">
        <v>46169</v>
      </c>
      <c r="B197" t="inlineStr">
        <is>
          <t>D001</t>
        </is>
      </c>
      <c r="C197" t="inlineStr">
        <is>
          <t>飲料</t>
        </is>
      </c>
      <c r="D197" s="8" t="n">
        <v>9</v>
      </c>
      <c r="E197" s="8" t="n">
        <v>8820</v>
      </c>
      <c r="F197" t="inlineStr">
        <is>
          <t>佐藤</t>
        </is>
      </c>
    </row>
    <row r="198">
      <c r="A198" s="11" t="n">
        <v>46169</v>
      </c>
      <c r="B198" t="inlineStr">
        <is>
          <t>P009</t>
        </is>
      </c>
      <c r="C198" t="inlineStr">
        <is>
          <t>穀物</t>
        </is>
      </c>
      <c r="D198" s="8" t="n">
        <v>7</v>
      </c>
      <c r="E198" s="8" t="n">
        <v>6860</v>
      </c>
      <c r="F198" t="inlineStr">
        <is>
          <t>渡辺</t>
        </is>
      </c>
    </row>
    <row r="199">
      <c r="A199" s="11" t="n">
        <v>46169</v>
      </c>
      <c r="B199" t="inlineStr">
        <is>
          <t>C001</t>
        </is>
      </c>
      <c r="C199" t="inlineStr">
        <is>
          <t>調味料</t>
        </is>
      </c>
      <c r="D199" s="8" t="n">
        <v>2</v>
      </c>
      <c r="E199" s="8" t="n">
        <v>1560</v>
      </c>
      <c r="F199" t="inlineStr">
        <is>
          <t>渡辺</t>
        </is>
      </c>
    </row>
    <row r="200">
      <c r="A200" s="11" t="n">
        <v>46169</v>
      </c>
      <c r="B200" t="inlineStr">
        <is>
          <t>S001</t>
        </is>
      </c>
      <c r="C200" t="inlineStr">
        <is>
          <t>乾物</t>
        </is>
      </c>
      <c r="D200" s="8" t="n">
        <v>1</v>
      </c>
      <c r="E200" s="8" t="n">
        <v>1980</v>
      </c>
      <c r="F200" t="inlineStr">
        <is>
          <t>高橋</t>
        </is>
      </c>
    </row>
    <row r="201">
      <c r="A201" s="11" t="n">
        <v>46169</v>
      </c>
      <c r="B201" t="inlineStr">
        <is>
          <t>C002</t>
        </is>
      </c>
      <c r="C201" t="inlineStr">
        <is>
          <t>調味料</t>
        </is>
      </c>
      <c r="D201" s="8" t="n">
        <v>2</v>
      </c>
      <c r="E201" s="8" t="n">
        <v>1960</v>
      </c>
      <c r="F201" t="inlineStr">
        <is>
          <t>田中</t>
        </is>
      </c>
    </row>
    <row r="202">
      <c r="A202" s="11" t="n">
        <v>46169</v>
      </c>
      <c r="B202" t="inlineStr">
        <is>
          <t>P006</t>
        </is>
      </c>
      <c r="C202" t="inlineStr">
        <is>
          <t>穀物</t>
        </is>
      </c>
      <c r="D202" s="8" t="n">
        <v>3</v>
      </c>
      <c r="E202" s="8" t="n">
        <v>2040</v>
      </c>
      <c r="F202" t="inlineStr">
        <is>
          <t>佐藤</t>
        </is>
      </c>
    </row>
    <row r="203">
      <c r="A203" s="11" t="n">
        <v>46170</v>
      </c>
      <c r="B203" t="inlineStr">
        <is>
          <t>P009</t>
        </is>
      </c>
      <c r="C203" t="inlineStr">
        <is>
          <t>穀物</t>
        </is>
      </c>
      <c r="D203" s="8" t="n">
        <v>6</v>
      </c>
      <c r="E203" s="8" t="n">
        <v>5880</v>
      </c>
      <c r="F203" t="inlineStr">
        <is>
          <t>渡辺</t>
        </is>
      </c>
    </row>
    <row r="204">
      <c r="A204" s="11" t="n">
        <v>46170</v>
      </c>
      <c r="B204" t="inlineStr">
        <is>
          <t>D003</t>
        </is>
      </c>
      <c r="C204" t="inlineStr">
        <is>
          <t>飲料</t>
        </is>
      </c>
      <c r="D204" s="8" t="n">
        <v>7</v>
      </c>
      <c r="E204" s="8" t="n">
        <v>7560</v>
      </c>
      <c r="F204" t="inlineStr">
        <is>
          <t>鈴木</t>
        </is>
      </c>
    </row>
    <row r="205">
      <c r="A205" s="11" t="n">
        <v>46170</v>
      </c>
      <c r="B205" t="inlineStr">
        <is>
          <t>S001</t>
        </is>
      </c>
      <c r="C205" t="inlineStr">
        <is>
          <t>乾物</t>
        </is>
      </c>
      <c r="D205" s="8" t="n">
        <v>12</v>
      </c>
      <c r="E205" s="8" t="n">
        <v>23760</v>
      </c>
      <c r="F205" t="inlineStr">
        <is>
          <t>佐藤</t>
        </is>
      </c>
    </row>
    <row r="206">
      <c r="A206" s="11" t="n">
        <v>46170</v>
      </c>
      <c r="B206" t="inlineStr">
        <is>
          <t>D003</t>
        </is>
      </c>
      <c r="C206" t="inlineStr">
        <is>
          <t>飲料</t>
        </is>
      </c>
      <c r="D206" s="8" t="n">
        <v>3</v>
      </c>
      <c r="E206" s="8" t="n">
        <v>3240</v>
      </c>
      <c r="F206" t="inlineStr">
        <is>
          <t>渡辺</t>
        </is>
      </c>
    </row>
    <row r="207">
      <c r="A207" s="11" t="n">
        <v>46170</v>
      </c>
      <c r="B207" t="inlineStr">
        <is>
          <t>D001</t>
        </is>
      </c>
      <c r="C207" t="inlineStr">
        <is>
          <t>飲料</t>
        </is>
      </c>
      <c r="D207" s="8" t="n">
        <v>12</v>
      </c>
      <c r="E207" s="8" t="n">
        <v>11760</v>
      </c>
      <c r="F207" t="inlineStr">
        <is>
          <t>佐藤</t>
        </is>
      </c>
    </row>
    <row r="208">
      <c r="A208" s="11" t="n">
        <v>46170</v>
      </c>
      <c r="B208" t="inlineStr">
        <is>
          <t>D003</t>
        </is>
      </c>
      <c r="C208" t="inlineStr">
        <is>
          <t>飲料</t>
        </is>
      </c>
      <c r="D208" s="8" t="n">
        <v>2</v>
      </c>
      <c r="E208" s="8" t="n">
        <v>2160</v>
      </c>
      <c r="F208" t="inlineStr">
        <is>
          <t>渡辺</t>
        </is>
      </c>
    </row>
    <row r="209">
      <c r="A209" s="11" t="n">
        <v>46170</v>
      </c>
      <c r="B209" t="inlineStr">
        <is>
          <t>P009</t>
        </is>
      </c>
      <c r="C209" t="inlineStr">
        <is>
          <t>穀物</t>
        </is>
      </c>
      <c r="D209" s="8" t="n">
        <v>8</v>
      </c>
      <c r="E209" s="8" t="n">
        <v>7840</v>
      </c>
      <c r="F209" t="inlineStr">
        <is>
          <t>高橋</t>
        </is>
      </c>
    </row>
    <row r="210">
      <c r="A210" s="11" t="n">
        <v>46170</v>
      </c>
      <c r="B210" t="inlineStr">
        <is>
          <t>D004</t>
        </is>
      </c>
      <c r="C210" t="inlineStr">
        <is>
          <t>飲料</t>
        </is>
      </c>
      <c r="D210" s="8" t="n">
        <v>7</v>
      </c>
      <c r="E210" s="8" t="n">
        <v>10360</v>
      </c>
      <c r="F210" t="inlineStr">
        <is>
          <t>高橋</t>
        </is>
      </c>
    </row>
    <row r="211">
      <c r="A211" s="11" t="n">
        <v>46170</v>
      </c>
      <c r="B211" t="inlineStr">
        <is>
          <t>P003</t>
        </is>
      </c>
      <c r="C211" t="inlineStr">
        <is>
          <t>穀物</t>
        </is>
      </c>
      <c r="D211" s="8" t="n">
        <v>10</v>
      </c>
      <c r="E211" s="8" t="n">
        <v>12800</v>
      </c>
      <c r="F211" t="inlineStr">
        <is>
          <t>渡辺</t>
        </is>
      </c>
    </row>
    <row r="212">
      <c r="A212" s="11" t="n">
        <v>46170</v>
      </c>
      <c r="B212" t="inlineStr">
        <is>
          <t>D003</t>
        </is>
      </c>
      <c r="C212" t="inlineStr">
        <is>
          <t>飲料</t>
        </is>
      </c>
      <c r="D212" s="8" t="n">
        <v>3</v>
      </c>
      <c r="E212" s="8" t="n">
        <v>3240</v>
      </c>
      <c r="F212" t="inlineStr">
        <is>
          <t>高橋</t>
        </is>
      </c>
    </row>
    <row r="213">
      <c r="A213" s="11" t="n">
        <v>46171</v>
      </c>
      <c r="B213" t="inlineStr">
        <is>
          <t>D003</t>
        </is>
      </c>
      <c r="C213" t="inlineStr">
        <is>
          <t>飲料</t>
        </is>
      </c>
      <c r="D213" s="8" t="n">
        <v>9</v>
      </c>
      <c r="E213" s="8" t="n">
        <v>9720</v>
      </c>
      <c r="F213" t="inlineStr">
        <is>
          <t>佐藤</t>
        </is>
      </c>
    </row>
    <row r="214">
      <c r="A214" s="11" t="n">
        <v>46171</v>
      </c>
      <c r="B214" t="inlineStr">
        <is>
          <t>C001</t>
        </is>
      </c>
      <c r="C214" t="inlineStr">
        <is>
          <t>調味料</t>
        </is>
      </c>
      <c r="D214" s="8" t="n">
        <v>4</v>
      </c>
      <c r="E214" s="8" t="n">
        <v>3120</v>
      </c>
      <c r="F214" t="inlineStr">
        <is>
          <t>渡辺</t>
        </is>
      </c>
    </row>
    <row r="215">
      <c r="A215" s="11" t="n">
        <v>46171</v>
      </c>
      <c r="B215" t="inlineStr">
        <is>
          <t>C001</t>
        </is>
      </c>
      <c r="C215" t="inlineStr">
        <is>
          <t>調味料</t>
        </is>
      </c>
      <c r="D215" s="8" t="n">
        <v>6</v>
      </c>
      <c r="E215" s="8" t="n">
        <v>4680</v>
      </c>
      <c r="F215" t="inlineStr">
        <is>
          <t>田中</t>
        </is>
      </c>
    </row>
    <row r="216">
      <c r="A216" s="11" t="n">
        <v>46171</v>
      </c>
      <c r="B216" t="inlineStr">
        <is>
          <t>C001</t>
        </is>
      </c>
      <c r="C216" t="inlineStr">
        <is>
          <t>調味料</t>
        </is>
      </c>
      <c r="D216" s="8" t="n">
        <v>2</v>
      </c>
      <c r="E216" s="8" t="n">
        <v>1560</v>
      </c>
      <c r="F216" t="inlineStr">
        <is>
          <t>渡辺</t>
        </is>
      </c>
    </row>
    <row r="217">
      <c r="A217" s="11" t="n">
        <v>46171</v>
      </c>
      <c r="B217" t="inlineStr">
        <is>
          <t>C002</t>
        </is>
      </c>
      <c r="C217" t="inlineStr">
        <is>
          <t>調味料</t>
        </is>
      </c>
      <c r="D217" s="8" t="n">
        <v>11</v>
      </c>
      <c r="E217" s="8" t="n">
        <v>10780</v>
      </c>
      <c r="F217" t="inlineStr">
        <is>
          <t>渡辺</t>
        </is>
      </c>
    </row>
    <row r="218">
      <c r="A218" s="11" t="n">
        <v>46171</v>
      </c>
      <c r="B218" t="inlineStr">
        <is>
          <t>S002</t>
        </is>
      </c>
      <c r="C218" t="inlineStr">
        <is>
          <t>乾物</t>
        </is>
      </c>
      <c r="D218" s="8" t="n">
        <v>12</v>
      </c>
      <c r="E218" s="8" t="n">
        <v>15360</v>
      </c>
      <c r="F218" t="inlineStr">
        <is>
          <t>渡辺</t>
        </is>
      </c>
    </row>
    <row r="219">
      <c r="A219" s="11" t="n">
        <v>46172</v>
      </c>
      <c r="B219" t="inlineStr">
        <is>
          <t>P009</t>
        </is>
      </c>
      <c r="C219" t="inlineStr">
        <is>
          <t>穀物</t>
        </is>
      </c>
      <c r="D219" s="8" t="n">
        <v>6</v>
      </c>
      <c r="E219" s="8" t="n">
        <v>5880</v>
      </c>
      <c r="F219" t="inlineStr">
        <is>
          <t>渡辺</t>
        </is>
      </c>
    </row>
    <row r="220">
      <c r="A220" s="11" t="n">
        <v>46172</v>
      </c>
      <c r="B220" t="inlineStr">
        <is>
          <t>P004</t>
        </is>
      </c>
      <c r="C220" t="inlineStr">
        <is>
          <t>穀物</t>
        </is>
      </c>
      <c r="D220" s="8" t="n">
        <v>1</v>
      </c>
      <c r="E220" s="8" t="n">
        <v>1580</v>
      </c>
      <c r="F220" t="inlineStr">
        <is>
          <t>佐藤</t>
        </is>
      </c>
    </row>
    <row r="221">
      <c r="A221" s="11" t="n">
        <v>46172</v>
      </c>
      <c r="B221" t="inlineStr">
        <is>
          <t>P010</t>
        </is>
      </c>
      <c r="C221" t="inlineStr">
        <is>
          <t>穀物</t>
        </is>
      </c>
      <c r="D221" s="8" t="n">
        <v>5</v>
      </c>
      <c r="E221" s="8" t="n">
        <v>14400</v>
      </c>
      <c r="F221" t="inlineStr">
        <is>
          <t>鈴木</t>
        </is>
      </c>
    </row>
    <row r="222">
      <c r="A222" s="11" t="n">
        <v>46172</v>
      </c>
      <c r="B222" t="inlineStr">
        <is>
          <t>P004</t>
        </is>
      </c>
      <c r="C222" t="inlineStr">
        <is>
          <t>穀物</t>
        </is>
      </c>
      <c r="D222" s="8" t="n">
        <v>7</v>
      </c>
      <c r="E222" s="8" t="n">
        <v>11060</v>
      </c>
      <c r="F222" t="inlineStr">
        <is>
          <t>渡辺</t>
        </is>
      </c>
    </row>
    <row r="223">
      <c r="A223" s="11" t="n">
        <v>46172</v>
      </c>
      <c r="B223" t="inlineStr">
        <is>
          <t>P005</t>
        </is>
      </c>
      <c r="C223" t="inlineStr">
        <is>
          <t>穀物</t>
        </is>
      </c>
      <c r="D223" s="8" t="n">
        <v>6</v>
      </c>
      <c r="E223" s="8" t="n">
        <v>4680</v>
      </c>
      <c r="F223" t="inlineStr">
        <is>
          <t>渡辺</t>
        </is>
      </c>
    </row>
    <row r="224">
      <c r="A224" s="11" t="n">
        <v>46172</v>
      </c>
      <c r="B224" t="inlineStr">
        <is>
          <t>D004</t>
        </is>
      </c>
      <c r="C224" t="inlineStr">
        <is>
          <t>飲料</t>
        </is>
      </c>
      <c r="D224" s="8" t="n">
        <v>11</v>
      </c>
      <c r="E224" s="8" t="n">
        <v>16280</v>
      </c>
      <c r="F224" t="inlineStr">
        <is>
          <t>田中</t>
        </is>
      </c>
    </row>
    <row r="225">
      <c r="A225" s="11" t="n">
        <v>46172</v>
      </c>
      <c r="B225" t="inlineStr">
        <is>
          <t>S001</t>
        </is>
      </c>
      <c r="C225" t="inlineStr">
        <is>
          <t>乾物</t>
        </is>
      </c>
      <c r="D225" s="8" t="n">
        <v>12</v>
      </c>
      <c r="E225" s="8" t="n">
        <v>23760</v>
      </c>
      <c r="F225" t="inlineStr">
        <is>
          <t>佐藤</t>
        </is>
      </c>
    </row>
    <row r="226">
      <c r="A226" s="11" t="n">
        <v>46172</v>
      </c>
      <c r="B226" t="inlineStr">
        <is>
          <t>P010</t>
        </is>
      </c>
      <c r="C226" t="inlineStr">
        <is>
          <t>穀物</t>
        </is>
      </c>
      <c r="D226" s="8" t="n">
        <v>1</v>
      </c>
      <c r="E226" s="8" t="n">
        <v>2880</v>
      </c>
      <c r="F226" t="inlineStr">
        <is>
          <t>佐藤</t>
        </is>
      </c>
    </row>
    <row r="227">
      <c r="A227" s="11" t="n">
        <v>46172</v>
      </c>
      <c r="B227" t="inlineStr">
        <is>
          <t>P007</t>
        </is>
      </c>
      <c r="C227" t="inlineStr">
        <is>
          <t>穀物</t>
        </is>
      </c>
      <c r="D227" s="8" t="n">
        <v>7</v>
      </c>
      <c r="E227" s="8" t="n">
        <v>8260</v>
      </c>
      <c r="F227" t="inlineStr">
        <is>
          <t>鈴木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6" customWidth="1" min="5" max="5"/>
    <col width="12" customWidth="1" min="6" max="6"/>
  </cols>
  <sheetData>
    <row r="1">
      <c r="A1" s="5" t="inlineStr">
        <is>
          <t>シナリオ別売上予測</t>
        </is>
      </c>
    </row>
    <row r="2">
      <c r="A2" s="4" t="inlineStr">
        <is>
          <t>選択中シナリオ:</t>
        </is>
      </c>
      <c r="B2" s="3">
        <f>設定!B7</f>
        <v/>
      </c>
      <c r="C2" s="4" t="inlineStr">
        <is>
          <t>係数:</t>
        </is>
      </c>
      <c r="D2" s="12">
        <f>INDIRECT("設定!F"&amp;(MATCH(B2,設定!E5:E7,0)+4))</f>
        <v/>
      </c>
    </row>
    <row r="3">
      <c r="A3" s="2" t="inlineStr">
        <is>
          <t>↑ INDIRECT を使っているため、設定!F の構造が変わると壊れる</t>
        </is>
      </c>
    </row>
    <row r="5">
      <c r="A5" s="10" t="inlineStr">
        <is>
          <t>商品コード</t>
        </is>
      </c>
      <c r="B5" s="10" t="inlineStr">
        <is>
          <t>商品名</t>
        </is>
      </c>
      <c r="C5" s="10" t="inlineStr">
        <is>
          <t>単価</t>
        </is>
      </c>
      <c r="D5" s="10" t="inlineStr">
        <is>
          <t>標準月販予測</t>
        </is>
      </c>
      <c r="E5" s="10" t="inlineStr">
        <is>
          <t>シナリオ調整後</t>
        </is>
      </c>
      <c r="F5" s="10" t="inlineStr">
        <is>
          <t>在庫月数</t>
        </is>
      </c>
    </row>
    <row r="6">
      <c r="A6">
        <f>商品マスタ!A4</f>
        <v/>
      </c>
      <c r="B6">
        <f>VLOOKUP(A6,商品マスタ!$A$4:$E$23,2,FALSE)</f>
        <v/>
      </c>
      <c r="C6" s="8">
        <f>VLOOKUP(A6,商品マスタ!$A$4:$E$23,4,FALSE)</f>
        <v/>
      </c>
      <c r="D6" s="8">
        <f>SUMIFS(日次売上!D:D,日次売上!B:B,A6)</f>
        <v/>
      </c>
      <c r="E6" s="8">
        <f>D6*$D$2</f>
        <v/>
      </c>
      <c r="F6" s="13">
        <f>IF(D6=0,0,VLOOKUP(A6,商品マスタ!$A$4:$E$23,5,FALSE)/(SUM(OFFSET(日次売上!D4,0,0,COUNTA(日次売上!D:D)-1,1))/30))</f>
        <v/>
      </c>
    </row>
    <row r="7">
      <c r="A7">
        <f>商品マスタ!A5</f>
        <v/>
      </c>
      <c r="B7">
        <f>VLOOKUP(A7,商品マスタ!$A$4:$E$23,2,FALSE)</f>
        <v/>
      </c>
      <c r="C7" s="8">
        <f>VLOOKUP(A7,商品マスタ!$A$4:$E$23,4,FALSE)</f>
        <v/>
      </c>
      <c r="D7" s="8">
        <f>SUMIFS(日次売上!D:D,日次売上!B:B,A7)</f>
        <v/>
      </c>
      <c r="E7" s="8">
        <f>D7*$D$2</f>
        <v/>
      </c>
      <c r="F7" s="13">
        <f>IF(D7=0,0,VLOOKUP(A7,商品マスタ!$A$4:$E$23,5,FALSE)/(SUM(OFFSET(日次売上!D4,0,0,COUNTA(日次売上!D:D)-1,1))/30))</f>
        <v/>
      </c>
    </row>
    <row r="8">
      <c r="A8">
        <f>商品マスタ!A6</f>
        <v/>
      </c>
      <c r="B8">
        <f>VLOOKUP(A8,商品マスタ!$A$4:$E$23,2,FALSE)</f>
        <v/>
      </c>
      <c r="C8" s="8">
        <f>VLOOKUP(A8,商品マスタ!$A$4:$E$23,4,FALSE)</f>
        <v/>
      </c>
      <c r="D8" s="8">
        <f>SUMIFS(日次売上!D:D,日次売上!B:B,A8)</f>
        <v/>
      </c>
      <c r="E8" s="8">
        <f>D8*$D$2</f>
        <v/>
      </c>
      <c r="F8" s="13">
        <f>IF(D8=0,0,VLOOKUP(A8,商品マスタ!$A$4:$E$23,5,FALSE)/(SUM(OFFSET(日次売上!D4,0,0,COUNTA(日次売上!D:D)-1,1))/30))</f>
        <v/>
      </c>
    </row>
    <row r="9">
      <c r="A9">
        <f>商品マスタ!A7</f>
        <v/>
      </c>
      <c r="B9">
        <f>VLOOKUP(A9,商品マスタ!$A$4:$E$23,2,FALSE)</f>
        <v/>
      </c>
      <c r="C9" s="8">
        <f>VLOOKUP(A9,商品マスタ!$A$4:$E$23,4,FALSE)</f>
        <v/>
      </c>
      <c r="D9" s="8">
        <f>SUMIFS(日次売上!D:D,日次売上!B:B,A9)</f>
        <v/>
      </c>
      <c r="E9" s="8">
        <f>D9*$D$2</f>
        <v/>
      </c>
      <c r="F9" s="13">
        <f>IF(D9=0,0,VLOOKUP(A9,商品マスタ!$A$4:$E$23,5,FALSE)/(SUM(OFFSET(日次売上!D4,0,0,COUNTA(日次売上!D:D)-1,1))/30))</f>
        <v/>
      </c>
    </row>
    <row r="10">
      <c r="A10">
        <f>商品マスタ!A8</f>
        <v/>
      </c>
      <c r="B10">
        <f>VLOOKUP(A10,商品マスタ!$A$4:$E$23,2,FALSE)</f>
        <v/>
      </c>
      <c r="C10" s="8">
        <f>VLOOKUP(A10,商品マスタ!$A$4:$E$23,4,FALSE)</f>
        <v/>
      </c>
      <c r="D10" s="8">
        <f>SUMIFS(日次売上!D:D,日次売上!B:B,A10)</f>
        <v/>
      </c>
      <c r="E10" s="8">
        <f>D10*$D$2</f>
        <v/>
      </c>
      <c r="F10" s="13">
        <f>IF(D10=0,0,VLOOKUP(A10,商品マスタ!$A$4:$E$23,5,FALSE)/(SUM(OFFSET(日次売上!D4,0,0,COUNTA(日次売上!D:D)-1,1))/30))</f>
        <v/>
      </c>
    </row>
    <row r="11">
      <c r="A11">
        <f>商品マスタ!A9</f>
        <v/>
      </c>
      <c r="B11">
        <f>VLOOKUP(A11,商品マスタ!$A$4:$E$23,2,FALSE)</f>
        <v/>
      </c>
      <c r="C11" s="8">
        <f>VLOOKUP(A11,商品マスタ!$A$4:$E$23,4,FALSE)</f>
        <v/>
      </c>
      <c r="D11" s="8">
        <f>SUMIFS(日次売上!D:D,日次売上!B:B,A11)</f>
        <v/>
      </c>
      <c r="E11" s="8">
        <f>D11*$D$2</f>
        <v/>
      </c>
      <c r="F11" s="13">
        <f>IF(D11=0,0,VLOOKUP(A11,商品マスタ!$A$4:$E$23,5,FALSE)/(SUM(OFFSET(日次売上!D4,0,0,COUNTA(日次売上!D:D)-1,1))/30))</f>
        <v/>
      </c>
    </row>
    <row r="12">
      <c r="A12">
        <f>商品マスタ!A10</f>
        <v/>
      </c>
      <c r="B12">
        <f>VLOOKUP(A12,商品マスタ!$A$4:$E$23,2,FALSE)</f>
        <v/>
      </c>
      <c r="C12" s="8">
        <f>VLOOKUP(A12,商品マスタ!$A$4:$E$23,4,FALSE)</f>
        <v/>
      </c>
      <c r="D12" s="8">
        <f>SUMIFS(日次売上!D:D,日次売上!B:B,A12)</f>
        <v/>
      </c>
      <c r="E12" s="8">
        <f>D12*$D$2</f>
        <v/>
      </c>
      <c r="F12" s="13">
        <f>IF(D12=0,0,VLOOKUP(A12,商品マスタ!$A$4:$E$23,5,FALSE)/(SUM(OFFSET(日次売上!D4,0,0,COUNTA(日次売上!D:D)-1,1))/30))</f>
        <v/>
      </c>
    </row>
    <row r="13">
      <c r="A13">
        <f>商品マスタ!A11</f>
        <v/>
      </c>
      <c r="B13">
        <f>VLOOKUP(A13,商品マスタ!$A$4:$E$23,2,FALSE)</f>
        <v/>
      </c>
      <c r="C13" s="8">
        <f>VLOOKUP(A13,商品マスタ!$A$4:$E$23,4,FALSE)</f>
        <v/>
      </c>
      <c r="D13" s="8">
        <f>SUMIFS(日次売上!D:D,日次売上!B:B,A13)</f>
        <v/>
      </c>
      <c r="E13" s="8">
        <f>D13*$D$2</f>
        <v/>
      </c>
      <c r="F13" s="13">
        <f>IF(D13=0,0,VLOOKUP(A13,商品マスタ!$A$4:$E$23,5,FALSE)/(SUM(OFFSET(日次売上!D4,0,0,COUNTA(日次売上!D:D)-1,1))/30))</f>
        <v/>
      </c>
    </row>
    <row r="14">
      <c r="A14">
        <f>商品マスタ!A12</f>
        <v/>
      </c>
      <c r="B14">
        <f>VLOOKUP(A14,商品マスタ!$A$4:$E$23,2,FALSE)</f>
        <v/>
      </c>
      <c r="C14" s="8">
        <f>VLOOKUP(A14,商品マスタ!$A$4:$E$23,4,FALSE)</f>
        <v/>
      </c>
      <c r="D14" s="8">
        <f>SUMIFS(日次売上!D:D,日次売上!B:B,A14)</f>
        <v/>
      </c>
      <c r="E14" s="8">
        <f>D14*$D$2</f>
        <v/>
      </c>
      <c r="F14" s="13">
        <f>IF(D14=0,0,VLOOKUP(A14,商品マスタ!$A$4:$E$23,5,FALSE)/(SUM(OFFSET(日次売上!D4,0,0,COUNTA(日次売上!D:D)-1,1))/30))</f>
        <v/>
      </c>
    </row>
    <row r="15">
      <c r="A15">
        <f>商品マスタ!A13</f>
        <v/>
      </c>
      <c r="B15">
        <f>VLOOKUP(A15,商品マスタ!$A$4:$E$23,2,FALSE)</f>
        <v/>
      </c>
      <c r="C15" s="8">
        <f>VLOOKUP(A15,商品マスタ!$A$4:$E$23,4,FALSE)</f>
        <v/>
      </c>
      <c r="D15" s="8">
        <f>SUMIFS(日次売上!D:D,日次売上!B:B,A15)</f>
        <v/>
      </c>
      <c r="E15" s="8">
        <f>D15*$D$2</f>
        <v/>
      </c>
      <c r="F15" s="13">
        <f>IF(D15=0,0,VLOOKUP(A15,商品マスタ!$A$4:$E$23,5,FALSE)/(SUM(OFFSET(日次売上!D4,0,0,COUNTA(日次売上!D:D)-1,1))/30))</f>
        <v/>
      </c>
    </row>
    <row r="16">
      <c r="A16">
        <f>商品マスタ!A14</f>
        <v/>
      </c>
      <c r="B16">
        <f>VLOOKUP(A16,商品マスタ!$A$4:$E$23,2,FALSE)</f>
        <v/>
      </c>
      <c r="C16" s="8">
        <f>VLOOKUP(A16,商品マスタ!$A$4:$E$23,4,FALSE)</f>
        <v/>
      </c>
      <c r="D16" s="8">
        <f>SUMIFS(日次売上!D:D,日次売上!B:B,A16)</f>
        <v/>
      </c>
      <c r="E16" s="8">
        <f>D16*$D$2</f>
        <v/>
      </c>
      <c r="F16" s="13">
        <f>IF(D16=0,0,VLOOKUP(A16,商品マスタ!$A$4:$E$23,5,FALSE)/(SUM(OFFSET(日次売上!D4,0,0,COUNTA(日次売上!D:D)-1,1))/30))</f>
        <v/>
      </c>
    </row>
    <row r="17">
      <c r="A17">
        <f>商品マスタ!A15</f>
        <v/>
      </c>
      <c r="B17">
        <f>VLOOKUP(A17,商品マスタ!$A$4:$E$23,2,FALSE)</f>
        <v/>
      </c>
      <c r="C17" s="8">
        <f>VLOOKUP(A17,商品マスタ!$A$4:$E$23,4,FALSE)</f>
        <v/>
      </c>
      <c r="D17" s="8">
        <f>SUMIFS(日次売上!D:D,日次売上!B:B,A17)</f>
        <v/>
      </c>
      <c r="E17" s="8">
        <f>D17*$D$2</f>
        <v/>
      </c>
      <c r="F17" s="13">
        <f>IF(D17=0,0,VLOOKUP(A17,商品マスタ!$A$4:$E$23,5,FALSE)/(SUM(OFFSET(日次売上!D4,0,0,COUNTA(日次売上!D:D)-1,1))/30))</f>
        <v/>
      </c>
    </row>
    <row r="18">
      <c r="A18">
        <f>商品マスタ!A16</f>
        <v/>
      </c>
      <c r="B18">
        <f>VLOOKUP(A18,商品マスタ!$A$4:$E$23,2,FALSE)</f>
        <v/>
      </c>
      <c r="C18" s="8">
        <f>VLOOKUP(A18,商品マスタ!$A$4:$E$23,4,FALSE)</f>
        <v/>
      </c>
      <c r="D18" s="8">
        <f>SUMIFS(日次売上!D:D,日次売上!B:B,A18)</f>
        <v/>
      </c>
      <c r="E18" s="8">
        <f>D18*$D$2</f>
        <v/>
      </c>
      <c r="F18" s="13">
        <f>IF(D18=0,0,VLOOKUP(A18,商品マスタ!$A$4:$E$23,5,FALSE)/(SUM(OFFSET(日次売上!D4,0,0,COUNTA(日次売上!D:D)-1,1))/30))</f>
        <v/>
      </c>
    </row>
    <row r="19">
      <c r="A19">
        <f>商品マスタ!A17</f>
        <v/>
      </c>
      <c r="B19">
        <f>VLOOKUP(A19,商品マスタ!$A$4:$E$23,2,FALSE)</f>
        <v/>
      </c>
      <c r="C19" s="8">
        <f>VLOOKUP(A19,商品マスタ!$A$4:$E$23,4,FALSE)</f>
        <v/>
      </c>
      <c r="D19" s="8">
        <f>SUMIFS(日次売上!D:D,日次売上!B:B,A19)</f>
        <v/>
      </c>
      <c r="E19" s="8">
        <f>D19*$D$2</f>
        <v/>
      </c>
      <c r="F19" s="13">
        <f>IF(D19=0,0,VLOOKUP(A19,商品マスタ!$A$4:$E$23,5,FALSE)/(SUM(OFFSET(日次売上!D4,0,0,COUNTA(日次売上!D:D)-1,1))/30))</f>
        <v/>
      </c>
    </row>
    <row r="20">
      <c r="A20">
        <f>商品マスタ!A18</f>
        <v/>
      </c>
      <c r="B20">
        <f>VLOOKUP(A20,商品マスタ!$A$4:$E$23,2,FALSE)</f>
        <v/>
      </c>
      <c r="C20" s="8">
        <f>VLOOKUP(A20,商品マスタ!$A$4:$E$23,4,FALSE)</f>
        <v/>
      </c>
      <c r="D20" s="8">
        <f>SUMIFS(日次売上!D:D,日次売上!B:B,A20)</f>
        <v/>
      </c>
      <c r="E20" s="8">
        <f>D20*$D$2</f>
        <v/>
      </c>
      <c r="F20" s="13">
        <f>IF(D20=0,0,VLOOKUP(A20,商品マスタ!$A$4:$E$23,5,FALSE)/(SUM(OFFSET(日次売上!D4,0,0,COUNTA(日次売上!D:D)-1,1))/30))</f>
        <v/>
      </c>
    </row>
    <row r="21">
      <c r="A21">
        <f>商品マスタ!A19</f>
        <v/>
      </c>
      <c r="B21">
        <f>VLOOKUP(A21,商品マスタ!$A$4:$E$23,2,FALSE)</f>
        <v/>
      </c>
      <c r="C21" s="8">
        <f>VLOOKUP(A21,商品マスタ!$A$4:$E$23,4,FALSE)</f>
        <v/>
      </c>
      <c r="D21" s="8">
        <f>SUMIFS(日次売上!D:D,日次売上!B:B,A21)</f>
        <v/>
      </c>
      <c r="E21" s="8">
        <f>D21*$D$2</f>
        <v/>
      </c>
      <c r="F21" s="13">
        <f>IF(D21=0,0,VLOOKUP(A21,商品マスタ!$A$4:$E$23,5,FALSE)/(SUM(OFFSET(日次売上!D4,0,0,COUNTA(日次売上!D:D)-1,1))/30))</f>
        <v/>
      </c>
    </row>
    <row r="22">
      <c r="A22">
        <f>商品マスタ!A20</f>
        <v/>
      </c>
      <c r="B22">
        <f>VLOOKUP(A22,商品マスタ!$A$4:$E$23,2,FALSE)</f>
        <v/>
      </c>
      <c r="C22" s="8">
        <f>VLOOKUP(A22,商品マスタ!$A$4:$E$23,4,FALSE)</f>
        <v/>
      </c>
      <c r="D22" s="8">
        <f>SUMIFS(日次売上!D:D,日次売上!B:B,A22)</f>
        <v/>
      </c>
      <c r="E22" s="8">
        <f>D22*$D$2</f>
        <v/>
      </c>
      <c r="F22" s="13">
        <f>IF(D22=0,0,VLOOKUP(A22,商品マスタ!$A$4:$E$23,5,FALSE)/(SUM(OFFSET(日次売上!D4,0,0,COUNTA(日次売上!D:D)-1,1))/30))</f>
        <v/>
      </c>
    </row>
    <row r="23">
      <c r="A23">
        <f>商品マスタ!A21</f>
        <v/>
      </c>
      <c r="B23">
        <f>VLOOKUP(A23,商品マスタ!$A$4:$E$23,2,FALSE)</f>
        <v/>
      </c>
      <c r="C23" s="8">
        <f>VLOOKUP(A23,商品マスタ!$A$4:$E$23,4,FALSE)</f>
        <v/>
      </c>
      <c r="D23" s="8">
        <f>SUMIFS(日次売上!D:D,日次売上!B:B,A23)</f>
        <v/>
      </c>
      <c r="E23" s="8">
        <f>D23*$D$2</f>
        <v/>
      </c>
      <c r="F23" s="13">
        <f>IF(D23=0,0,VLOOKUP(A23,商品マスタ!$A$4:$E$23,5,FALSE)/(SUM(OFFSET(日次売上!D4,0,0,COUNTA(日次売上!D:D)-1,1))/30))</f>
        <v/>
      </c>
    </row>
    <row r="24">
      <c r="A24">
        <f>商品マスタ!A22</f>
        <v/>
      </c>
      <c r="B24">
        <f>VLOOKUP(A24,商品マスタ!$A$4:$E$23,2,FALSE)</f>
        <v/>
      </c>
      <c r="C24" s="8">
        <f>VLOOKUP(A24,商品マスタ!$A$4:$E$23,4,FALSE)</f>
        <v/>
      </c>
      <c r="D24" s="8">
        <f>SUMIFS(日次売上!D:D,日次売上!B:B,A24)</f>
        <v/>
      </c>
      <c r="E24" s="8">
        <f>D24*$D$2</f>
        <v/>
      </c>
      <c r="F24" s="13">
        <f>IF(D24=0,0,VLOOKUP(A24,商品マスタ!$A$4:$E$23,5,FALSE)/(SUM(OFFSET(日次売上!D4,0,0,COUNTA(日次売上!D:D)-1,1))/30))</f>
        <v/>
      </c>
    </row>
    <row r="25">
      <c r="A25">
        <f>商品マスタ!A23</f>
        <v/>
      </c>
      <c r="B25">
        <f>VLOOKUP(A25,商品マスタ!$A$4:$E$23,2,FALSE)</f>
        <v/>
      </c>
      <c r="C25" s="8">
        <f>VLOOKUP(A25,商品マスタ!$A$4:$E$23,4,FALSE)</f>
        <v/>
      </c>
      <c r="D25" s="8">
        <f>SUMIFS(日次売上!D:D,日次売上!B:B,A25)</f>
        <v/>
      </c>
      <c r="E25" s="8">
        <f>D25*$D$2</f>
        <v/>
      </c>
      <c r="F25" s="13">
        <f>IF(D25=0,0,VLOOKUP(A25,商品マスタ!$A$4:$E$23,5,FALSE)/(SUM(OFFSET(日次売上!D4,0,0,COUNTA(日次売上!D:D)-1,1))/30))</f>
        <v/>
      </c>
    </row>
  </sheetData>
  <mergeCells count="1">
    <mergeCell ref="A1:F1"/>
  </mergeCells>
  <conditionalFormatting sqref="F6:F25">
    <cfRule type="cellIs" priority="1" operator="greaterThanOrEqual" dxfId="0">
      <formula>6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</cols>
  <sheetData>
    <row r="1">
      <c r="A1" s="5" t="inlineStr">
        <is>
          <t>カテゴリ別月次集計</t>
        </is>
      </c>
    </row>
    <row r="2">
      <c r="A2" s="2" t="inlineStr">
        <is>
          <t>(日次売上を SUMIFS でカテゴリ集計。Excel のピボットテーブルでも代替可)</t>
        </is>
      </c>
    </row>
    <row r="4">
      <c r="A4" s="10" t="inlineStr">
        <is>
          <t>カテゴリ</t>
        </is>
      </c>
      <c r="B4" s="10" t="inlineStr">
        <is>
          <t>売上金額</t>
        </is>
      </c>
      <c r="C4" s="10" t="inlineStr">
        <is>
          <t>数量</t>
        </is>
      </c>
      <c r="D4" s="10" t="inlineStr">
        <is>
          <t>客単価 (= 売上 / 数量)</t>
        </is>
      </c>
    </row>
    <row r="5">
      <c r="A5" s="4" t="inlineStr">
        <is>
          <t>穀物</t>
        </is>
      </c>
      <c r="B5" s="8">
        <f>SUMIFS(日次売上!E:E,日次売上!C:C,A5)</f>
        <v/>
      </c>
      <c r="C5" s="8">
        <f>SUMIFS(日次売上!D:D,日次売上!C:C,A5)</f>
        <v/>
      </c>
      <c r="D5" s="8">
        <f>IF(C5=0,0,B5/C5)</f>
        <v/>
      </c>
    </row>
    <row r="6">
      <c r="A6" s="4" t="inlineStr">
        <is>
          <t>飲料</t>
        </is>
      </c>
      <c r="B6" s="8">
        <f>SUMIFS(日次売上!E:E,日次売上!C:C,A6)</f>
        <v/>
      </c>
      <c r="C6" s="8">
        <f>SUMIFS(日次売上!D:D,日次売上!C:C,A6)</f>
        <v/>
      </c>
      <c r="D6" s="8">
        <f>IF(C6=0,0,B6/C6)</f>
        <v/>
      </c>
    </row>
    <row r="7">
      <c r="A7" s="4" t="inlineStr">
        <is>
          <t>乾物</t>
        </is>
      </c>
      <c r="B7" s="8">
        <f>SUMIFS(日次売上!E:E,日次売上!C:C,A7)</f>
        <v/>
      </c>
      <c r="C7" s="8">
        <f>SUMIFS(日次売上!D:D,日次売上!C:C,A7)</f>
        <v/>
      </c>
      <c r="D7" s="8">
        <f>IF(C7=0,0,B7/C7)</f>
        <v/>
      </c>
    </row>
    <row r="8">
      <c r="A8" s="4" t="inlineStr">
        <is>
          <t>調味料</t>
        </is>
      </c>
      <c r="B8" s="8">
        <f>SUMIFS(日次売上!E:E,日次売上!C:C,A8)</f>
        <v/>
      </c>
      <c r="C8" s="8">
        <f>SUMIFS(日次売上!D:D,日次売上!C:C,A8)</f>
        <v/>
      </c>
      <c r="D8" s="8">
        <f>IF(C8=0,0,B8/C8)</f>
        <v/>
      </c>
    </row>
    <row r="9">
      <c r="A9" s="4" t="inlineStr">
        <is>
          <t>合計</t>
        </is>
      </c>
      <c r="B9" s="14">
        <f>SUM(B5:B8)</f>
        <v/>
      </c>
      <c r="C9" s="14">
        <f>SUM(C5:C8)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>
      <c r="A1" s="5" t="inlineStr">
        <is>
          <t>月次ダッシュボード</t>
        </is>
      </c>
    </row>
    <row r="3">
      <c r="A3" s="3" t="inlineStr">
        <is>
          <t>総売上</t>
        </is>
      </c>
      <c r="C3" s="3" t="inlineStr">
        <is>
          <t>販売数量</t>
        </is>
      </c>
      <c r="E3" s="3" t="inlineStr">
        <is>
          <t>客単価</t>
        </is>
      </c>
      <c r="G3" s="3" t="inlineStr">
        <is>
          <t>在庫過剰商品</t>
        </is>
      </c>
    </row>
    <row r="4">
      <c r="A4" s="15">
        <f>SUM(日次売上!E:E)</f>
        <v/>
      </c>
      <c r="C4" s="15">
        <f>SUM(日次売上!D:D)</f>
        <v/>
      </c>
      <c r="E4" s="15">
        <f>IFERROR(SUM(日次売上!E:E)/SUM(日次売上!D:D),0)</f>
        <v/>
      </c>
      <c r="G4" s="16">
        <f>COUNTIF(シナリオ計算!F6:F100,"&gt;=6")</f>
        <v/>
      </c>
    </row>
    <row r="7">
      <c r="A7" s="3" t="inlineStr">
        <is>
          <t>カテゴリ別売上</t>
        </is>
      </c>
    </row>
    <row r="8">
      <c r="A8" s="10" t="inlineStr">
        <is>
          <t>カテゴリ</t>
        </is>
      </c>
      <c r="B8" s="10" t="inlineStr">
        <is>
          <t>売上</t>
        </is>
      </c>
    </row>
    <row r="9">
      <c r="A9" t="inlineStr">
        <is>
          <t>穀物</t>
        </is>
      </c>
      <c r="B9" s="8">
        <f>PivotByCategory!B5</f>
        <v/>
      </c>
    </row>
    <row r="10">
      <c r="A10" t="inlineStr">
        <is>
          <t>飲料</t>
        </is>
      </c>
      <c r="B10" s="8">
        <f>PivotByCategory!B6</f>
        <v/>
      </c>
    </row>
    <row r="11">
      <c r="A11" t="inlineStr">
        <is>
          <t>乾物</t>
        </is>
      </c>
      <c r="B11" s="8">
        <f>PivotByCategory!B7</f>
        <v/>
      </c>
    </row>
    <row r="12">
      <c r="A12" t="inlineStr">
        <is>
          <t>調味料</t>
        </is>
      </c>
      <c r="B12" s="8">
        <f>PivotByCategory!B8</f>
        <v/>
      </c>
    </row>
    <row r="16">
      <c r="A16" s="3" t="inlineStr">
        <is>
          <t>担当者別売上</t>
        </is>
      </c>
    </row>
    <row r="17">
      <c r="A17" s="10" t="inlineStr">
        <is>
          <t>担当者</t>
        </is>
      </c>
      <c r="B17" s="10" t="inlineStr">
        <is>
          <t>売上</t>
        </is>
      </c>
    </row>
    <row r="18">
      <c r="A18" t="inlineStr">
        <is>
          <t>田中</t>
        </is>
      </c>
      <c r="B18" s="8">
        <f>SUMIFS(日次売上!E:E,日次売上!F:F,A18)</f>
        <v/>
      </c>
    </row>
    <row r="19">
      <c r="A19" t="inlineStr">
        <is>
          <t>鈴木</t>
        </is>
      </c>
      <c r="B19" s="8">
        <f>SUMIFS(日次売上!E:E,日次売上!F:F,A19)</f>
        <v/>
      </c>
    </row>
    <row r="20">
      <c r="A20" t="inlineStr">
        <is>
          <t>佐藤</t>
        </is>
      </c>
      <c r="B20" s="8">
        <f>SUMIFS(日次売上!E:E,日次売上!F:F,A20)</f>
        <v/>
      </c>
    </row>
    <row r="21">
      <c r="A21" t="inlineStr">
        <is>
          <t>高橋</t>
        </is>
      </c>
      <c r="B21" s="8">
        <f>SUMIFS(日次売上!E:E,日次売上!F:F,A21)</f>
        <v/>
      </c>
    </row>
    <row r="22">
      <c r="A22" t="inlineStr">
        <is>
          <t>渡辺</t>
        </is>
      </c>
      <c r="B22" s="8">
        <f>SUMIFS(日次売上!E:E,日次売上!F:F,A22)</f>
        <v/>
      </c>
    </row>
    <row r="26">
      <c r="A26" s="2" t="inlineStr">
        <is>
          <t>[ボタン: 月次更新] ← inject_vba.ps1 でフォームコントロールが追加され、MonthlyUpdate にリンクします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1">
      <c r="A1" s="17" t="inlineStr">
        <is>
          <t>月次運営レポート</t>
        </is>
      </c>
    </row>
    <row r="2">
      <c r="A2" s="18">
        <f>"対象期間: "&amp;設定!B6</f>
        <v/>
      </c>
    </row>
    <row r="4">
      <c r="A4" s="3" t="inlineStr">
        <is>
          <t>総売上</t>
        </is>
      </c>
      <c r="C4" s="3" t="inlineStr">
        <is>
          <t>販売数量</t>
        </is>
      </c>
      <c r="E4" s="3" t="inlineStr">
        <is>
          <t>客単価</t>
        </is>
      </c>
    </row>
    <row r="5">
      <c r="A5" s="15">
        <f>ダッシュボード!A4</f>
        <v/>
      </c>
      <c r="C5" s="15">
        <f>ダッシュボード!C4</f>
        <v/>
      </c>
      <c r="E5" s="15">
        <f>ダッシュボード!E4</f>
        <v/>
      </c>
    </row>
    <row r="8">
      <c r="A8" s="3" t="inlineStr">
        <is>
          <t>カテゴリ別内訳</t>
        </is>
      </c>
    </row>
    <row r="9">
      <c r="A9" s="10" t="inlineStr">
        <is>
          <t>カテゴリ</t>
        </is>
      </c>
      <c r="B9" s="10" t="inlineStr">
        <is>
          <t>売上金額</t>
        </is>
      </c>
      <c r="C9" s="10" t="inlineStr">
        <is>
          <t>数量</t>
        </is>
      </c>
      <c r="D9" s="10" t="inlineStr">
        <is>
          <t>客単価</t>
        </is>
      </c>
      <c r="E9" s="10" t="inlineStr">
        <is>
          <t>構成比</t>
        </is>
      </c>
      <c r="F9" s="10" t="inlineStr"/>
    </row>
    <row r="10">
      <c r="A10" t="inlineStr">
        <is>
          <t>穀物</t>
        </is>
      </c>
      <c r="B10" s="8">
        <f>PivotByCategory!B5</f>
        <v/>
      </c>
      <c r="C10" s="8">
        <f>PivotByCategory!C5</f>
        <v/>
      </c>
      <c r="D10" s="8">
        <f>PivotByCategory!D5</f>
        <v/>
      </c>
      <c r="E10" s="7">
        <f>IFERROR(B10/PivotByCategory!B9,0)</f>
        <v/>
      </c>
    </row>
    <row r="11">
      <c r="A11" t="inlineStr">
        <is>
          <t>飲料</t>
        </is>
      </c>
      <c r="B11" s="8">
        <f>PivotByCategory!B6</f>
        <v/>
      </c>
      <c r="C11" s="8">
        <f>PivotByCategory!C6</f>
        <v/>
      </c>
      <c r="D11" s="8">
        <f>PivotByCategory!D6</f>
        <v/>
      </c>
      <c r="E11" s="7">
        <f>IFERROR(B11/PivotByCategory!B10,0)</f>
        <v/>
      </c>
    </row>
    <row r="12">
      <c r="A12" t="inlineStr">
        <is>
          <t>乾物</t>
        </is>
      </c>
      <c r="B12" s="8">
        <f>PivotByCategory!B7</f>
        <v/>
      </c>
      <c r="C12" s="8">
        <f>PivotByCategory!C7</f>
        <v/>
      </c>
      <c r="D12" s="8">
        <f>PivotByCategory!D7</f>
        <v/>
      </c>
      <c r="E12" s="7">
        <f>IFERROR(B12/PivotByCategory!B11,0)</f>
        <v/>
      </c>
    </row>
    <row r="13">
      <c r="A13" t="inlineStr">
        <is>
          <t>調味料</t>
        </is>
      </c>
      <c r="B13" s="8">
        <f>PivotByCategory!B8</f>
        <v/>
      </c>
      <c r="C13" s="8">
        <f>PivotByCategory!C8</f>
        <v/>
      </c>
      <c r="D13" s="8">
        <f>PivotByCategory!D8</f>
        <v/>
      </c>
      <c r="E13" s="7">
        <f>IFERROR(B13/PivotByCategory!B12,0)</f>
        <v/>
      </c>
    </row>
    <row r="16">
      <c r="A16" s="3" t="inlineStr">
        <is>
          <t>備考</t>
        </is>
      </c>
    </row>
    <row r="17">
      <c r="A17">
        <f>" シナリオ: "&amp;設定!B7&amp;" / 税率: "&amp;TEXT(設定!B4,"0.0%")</f>
        <v/>
      </c>
    </row>
  </sheetData>
  <mergeCells count="10">
    <mergeCell ref="A4:B4"/>
    <mergeCell ref="A2:F2"/>
    <mergeCell ref="E4:F4"/>
    <mergeCell ref="A1:F1"/>
    <mergeCell ref="C5:D5"/>
    <mergeCell ref="A5:B5"/>
    <mergeCell ref="A8:F8"/>
    <mergeCell ref="E5:F5"/>
    <mergeCell ref="A17:F1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2026-05-28T11:20:57Z</dcterms:created>
  <dcterms:modified xsi:type="dcterms:W3CDTF">2026-05-28T11:20:57Z</dcterms:modified>
</cp:coreProperties>
</file>