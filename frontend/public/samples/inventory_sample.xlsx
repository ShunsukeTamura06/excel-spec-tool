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" sheetId="1" state="visible" r:id="rId1"/>
    <sheet name="Calc" sheetId="2" state="visible" r:id="rId2"/>
    <sheet name="Output" sheetId="3" state="visible" r:id="rId3"/>
  </sheets>
  <definedNames>
    <definedName name="商品マスタ">Input!$A$4:$E$13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b val="1"/>
      <color rgb="00312E8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3A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3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CA5A5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在庫マスタ</t>
        </is>
      </c>
    </row>
    <row r="3">
      <c r="A3" s="2" t="inlineStr">
        <is>
          <t>商品コード</t>
        </is>
      </c>
      <c r="B3" s="2" t="inlineStr">
        <is>
          <t>商品名</t>
        </is>
      </c>
      <c r="C3" s="2" t="inlineStr">
        <is>
          <t>単価</t>
        </is>
      </c>
      <c r="D3" s="2" t="inlineStr">
        <is>
          <t>在庫数</t>
        </is>
      </c>
      <c r="E3" s="2" t="inlineStr">
        <is>
          <t>月間販売数</t>
        </is>
      </c>
    </row>
    <row r="4">
      <c r="A4" t="inlineStr">
        <is>
          <t>P001</t>
        </is>
      </c>
      <c r="B4" t="inlineStr">
        <is>
          <t>白米 5kg</t>
        </is>
      </c>
      <c r="C4" s="3" t="n">
        <v>1980</v>
      </c>
      <c r="D4" s="3" t="n">
        <v>120</v>
      </c>
      <c r="E4" s="3" t="n">
        <v>85</v>
      </c>
    </row>
    <row r="5">
      <c r="A5" t="inlineStr">
        <is>
          <t>P002</t>
        </is>
      </c>
      <c r="B5" t="inlineStr">
        <is>
          <t>玄米 5kg</t>
        </is>
      </c>
      <c r="C5" s="3" t="n">
        <v>2480</v>
      </c>
      <c r="D5" s="3" t="n">
        <v>60</v>
      </c>
      <c r="E5" s="3" t="n">
        <v>22</v>
      </c>
    </row>
    <row r="6">
      <c r="A6" t="inlineStr">
        <is>
          <t>P003</t>
        </is>
      </c>
      <c r="B6" t="inlineStr">
        <is>
          <t>もち米 2kg</t>
        </is>
      </c>
      <c r="C6" s="3" t="n">
        <v>1280</v>
      </c>
      <c r="D6" s="3" t="n">
        <v>40</v>
      </c>
      <c r="E6" s="3" t="n">
        <v>15</v>
      </c>
    </row>
    <row r="7">
      <c r="A7" t="inlineStr">
        <is>
          <t>P004</t>
        </is>
      </c>
      <c r="B7" t="inlineStr">
        <is>
          <t>雑穀ミックス 1kg</t>
        </is>
      </c>
      <c r="C7" s="3" t="n">
        <v>1580</v>
      </c>
      <c r="D7" s="3" t="n">
        <v>90</v>
      </c>
      <c r="E7" s="3" t="n">
        <v>45</v>
      </c>
    </row>
    <row r="8">
      <c r="A8" t="inlineStr">
        <is>
          <t>P005</t>
        </is>
      </c>
      <c r="B8" t="inlineStr">
        <is>
          <t>押し麦 800g</t>
        </is>
      </c>
      <c r="C8" s="3" t="n">
        <v>780</v>
      </c>
      <c r="D8" s="3" t="n">
        <v>150</v>
      </c>
      <c r="E8" s="3" t="n">
        <v>60</v>
      </c>
    </row>
    <row r="9">
      <c r="A9" t="inlineStr">
        <is>
          <t>P006</t>
        </is>
      </c>
      <c r="B9" t="inlineStr">
        <is>
          <t>オートミール 500g</t>
        </is>
      </c>
      <c r="C9" s="3" t="n">
        <v>680</v>
      </c>
      <c r="D9" s="3" t="n">
        <v>200</v>
      </c>
      <c r="E9" s="3" t="n">
        <v>120</v>
      </c>
    </row>
    <row r="10">
      <c r="A10" t="inlineStr">
        <is>
          <t>P007</t>
        </is>
      </c>
      <c r="B10" t="inlineStr">
        <is>
          <t>黒米 500g</t>
        </is>
      </c>
      <c r="C10" s="3" t="n">
        <v>1180</v>
      </c>
      <c r="D10" s="3" t="n">
        <v>25</v>
      </c>
      <c r="E10" s="3" t="n">
        <v>8</v>
      </c>
    </row>
    <row r="11">
      <c r="A11" t="inlineStr">
        <is>
          <t>P008</t>
        </is>
      </c>
      <c r="B11" t="inlineStr">
        <is>
          <t>赤米 500g</t>
        </is>
      </c>
      <c r="C11" s="3" t="n">
        <v>1280</v>
      </c>
      <c r="D11" s="3" t="n">
        <v>30</v>
      </c>
      <c r="E11" s="3" t="n">
        <v>12</v>
      </c>
    </row>
    <row r="12">
      <c r="A12" t="inlineStr">
        <is>
          <t>P009</t>
        </is>
      </c>
      <c r="B12" t="inlineStr">
        <is>
          <t>ハト麦 300g</t>
        </is>
      </c>
      <c r="C12" s="3" t="n">
        <v>980</v>
      </c>
      <c r="D12" s="3" t="n">
        <v>45</v>
      </c>
      <c r="E12" s="3" t="n">
        <v>18</v>
      </c>
    </row>
    <row r="13">
      <c r="A13" t="inlineStr">
        <is>
          <t>P010</t>
        </is>
      </c>
      <c r="B13" t="inlineStr">
        <is>
          <t>古代米セット</t>
        </is>
      </c>
      <c r="C13" s="3" t="n">
        <v>2880</v>
      </c>
      <c r="D13" s="3" t="n">
        <v>15</v>
      </c>
      <c r="E13" s="3" t="n">
        <v>5</v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派生計算</t>
        </is>
      </c>
    </row>
    <row r="3">
      <c r="A3" s="2" t="inlineStr">
        <is>
          <t>商品コード</t>
        </is>
      </c>
      <c r="B3" s="2" t="inlineStr">
        <is>
          <t>商品名</t>
        </is>
      </c>
      <c r="C3" s="2" t="inlineStr">
        <is>
          <t>在庫金額</t>
        </is>
      </c>
      <c r="D3" s="2" t="inlineStr">
        <is>
          <t>月間売上見込</t>
        </is>
      </c>
      <c r="E3" s="2" t="inlineStr">
        <is>
          <t>在庫回転月数</t>
        </is>
      </c>
    </row>
    <row r="4">
      <c r="A4">
        <f>Input!A4</f>
        <v/>
      </c>
      <c r="B4">
        <f>VLOOKUP(A4,商品マスタ,2,FALSE)</f>
        <v/>
      </c>
      <c r="C4" s="3">
        <f>Input!C4*Input!D4</f>
        <v/>
      </c>
      <c r="D4" s="3">
        <f>Input!C4*Input!E4</f>
        <v/>
      </c>
      <c r="E4" s="4">
        <f>IF(Input!E4=0,0,Input!D4/Input!E4)</f>
        <v/>
      </c>
    </row>
    <row r="5">
      <c r="A5">
        <f>Input!A5</f>
        <v/>
      </c>
      <c r="B5">
        <f>VLOOKUP(A5,商品マスタ,2,FALSE)</f>
        <v/>
      </c>
      <c r="C5" s="3">
        <f>Input!C5*Input!D5</f>
        <v/>
      </c>
      <c r="D5" s="3">
        <f>Input!C5*Input!E5</f>
        <v/>
      </c>
      <c r="E5" s="4">
        <f>IF(Input!E5=0,0,Input!D5/Input!E5)</f>
        <v/>
      </c>
    </row>
    <row r="6">
      <c r="A6">
        <f>Input!A6</f>
        <v/>
      </c>
      <c r="B6">
        <f>VLOOKUP(A6,商品マスタ,2,FALSE)</f>
        <v/>
      </c>
      <c r="C6" s="3">
        <f>Input!C6*Input!D6</f>
        <v/>
      </c>
      <c r="D6" s="3">
        <f>Input!C6*Input!E6</f>
        <v/>
      </c>
      <c r="E6" s="4">
        <f>IF(Input!E6=0,0,Input!D6/Input!E6)</f>
        <v/>
      </c>
    </row>
    <row r="7">
      <c r="A7">
        <f>Input!A7</f>
        <v/>
      </c>
      <c r="B7">
        <f>VLOOKUP(A7,商品マスタ,2,FALSE)</f>
        <v/>
      </c>
      <c r="C7" s="3">
        <f>Input!C7*Input!D7</f>
        <v/>
      </c>
      <c r="D7" s="3">
        <f>Input!C7*Input!E7</f>
        <v/>
      </c>
      <c r="E7" s="4">
        <f>IF(Input!E7=0,0,Input!D7/Input!E7)</f>
        <v/>
      </c>
    </row>
    <row r="8">
      <c r="A8">
        <f>Input!A8</f>
        <v/>
      </c>
      <c r="B8">
        <f>VLOOKUP(A8,商品マスタ,2,FALSE)</f>
        <v/>
      </c>
      <c r="C8" s="3">
        <f>Input!C8*Input!D8</f>
        <v/>
      </c>
      <c r="D8" s="3">
        <f>Input!C8*Input!E8</f>
        <v/>
      </c>
      <c r="E8" s="4">
        <f>IF(Input!E8=0,0,Input!D8/Input!E8)</f>
        <v/>
      </c>
    </row>
    <row r="9">
      <c r="A9">
        <f>Input!A9</f>
        <v/>
      </c>
      <c r="B9">
        <f>VLOOKUP(A9,商品マスタ,2,FALSE)</f>
        <v/>
      </c>
      <c r="C9" s="3">
        <f>Input!C9*Input!D9</f>
        <v/>
      </c>
      <c r="D9" s="3">
        <f>Input!C9*Input!E9</f>
        <v/>
      </c>
      <c r="E9" s="4">
        <f>IF(Input!E9=0,0,Input!D9/Input!E9)</f>
        <v/>
      </c>
    </row>
    <row r="10">
      <c r="A10">
        <f>Input!A10</f>
        <v/>
      </c>
      <c r="B10">
        <f>VLOOKUP(A10,商品マスタ,2,FALSE)</f>
        <v/>
      </c>
      <c r="C10" s="3">
        <f>Input!C10*Input!D10</f>
        <v/>
      </c>
      <c r="D10" s="3">
        <f>Input!C10*Input!E10</f>
        <v/>
      </c>
      <c r="E10" s="4">
        <f>IF(Input!E10=0,0,Input!D10/Input!E10)</f>
        <v/>
      </c>
    </row>
    <row r="11">
      <c r="A11">
        <f>Input!A11</f>
        <v/>
      </c>
      <c r="B11">
        <f>VLOOKUP(A11,商品マスタ,2,FALSE)</f>
        <v/>
      </c>
      <c r="C11" s="3">
        <f>Input!C11*Input!D11</f>
        <v/>
      </c>
      <c r="D11" s="3">
        <f>Input!C11*Input!E11</f>
        <v/>
      </c>
      <c r="E11" s="4">
        <f>IF(Input!E11=0,0,Input!D11/Input!E11)</f>
        <v/>
      </c>
    </row>
    <row r="12">
      <c r="A12">
        <f>Input!A12</f>
        <v/>
      </c>
      <c r="B12">
        <f>VLOOKUP(A12,商品マスタ,2,FALSE)</f>
        <v/>
      </c>
      <c r="C12" s="3">
        <f>Input!C12*Input!D12</f>
        <v/>
      </c>
      <c r="D12" s="3">
        <f>Input!C12*Input!E12</f>
        <v/>
      </c>
      <c r="E12" s="4">
        <f>IF(Input!E12=0,0,Input!D12/Input!E12)</f>
        <v/>
      </c>
    </row>
    <row r="13">
      <c r="A13">
        <f>Input!A13</f>
        <v/>
      </c>
      <c r="B13">
        <f>VLOOKUP(A13,商品マスタ,2,FALSE)</f>
        <v/>
      </c>
      <c r="C13" s="3">
        <f>Input!C13*Input!D13</f>
        <v/>
      </c>
      <c r="D13" s="3">
        <f>Input!C13*Input!E13</f>
        <v/>
      </c>
      <c r="E13" s="4">
        <f>IF(Input!E13=0,0,Input!D13/Input!E13)</f>
        <v/>
      </c>
    </row>
  </sheetData>
  <mergeCells count="1">
    <mergeCell ref="A1:E1"/>
  </mergeCells>
  <conditionalFormatting sqref="E4:E13">
    <cfRule type="cellIs" priority="1" operator="greaterThanOrEqual" dxfId="0">
      <formula>6</formula>
    </cfRule>
  </conditionalFormatting>
  <conditionalFormatting sqref="C4:C13">
    <cfRule type="colorScale" priority="2">
      <colorScale>
        <cfvo type="min"/>
        <cfvo type="percentile" val="50"/>
        <cfvo type="max"/>
        <color rgb="00ECFCCB"/>
        <color rgb="00FDE68A"/>
        <color rgb="00FCA5A5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</cols>
  <sheetData>
    <row r="1">
      <c r="A1" s="1" t="inlineStr">
        <is>
          <t>経営サマリ</t>
        </is>
      </c>
    </row>
    <row r="3">
      <c r="A3" s="2" t="inlineStr">
        <is>
          <t>指標</t>
        </is>
      </c>
      <c r="B3" s="2" t="inlineStr">
        <is>
          <t>値</t>
        </is>
      </c>
    </row>
    <row r="4">
      <c r="A4" t="inlineStr">
        <is>
          <t>商品数</t>
        </is>
      </c>
      <c r="B4" s="3">
        <f>COUNTA(Input!A4:A100)</f>
        <v/>
      </c>
    </row>
    <row r="5">
      <c r="A5" t="inlineStr">
        <is>
          <t>総在庫金額</t>
        </is>
      </c>
      <c r="B5" s="3">
        <f>SUM(Calc!C4:C100)</f>
        <v/>
      </c>
    </row>
    <row r="6">
      <c r="A6" t="inlineStr">
        <is>
          <t>月間売上見込合計</t>
        </is>
      </c>
      <c r="B6" s="3">
        <f>SUM(Calc!D4:D100)</f>
        <v/>
      </c>
    </row>
    <row r="7">
      <c r="A7" t="inlineStr">
        <is>
          <t>平均単価</t>
        </is>
      </c>
      <c r="B7" s="4">
        <f>AVERAGE(Input!C4:C100)</f>
        <v/>
      </c>
    </row>
    <row r="8">
      <c r="A8" t="inlineStr">
        <is>
          <t>在庫過剰商品数</t>
        </is>
      </c>
      <c r="B8" s="3">
        <f>COUNTIF(Calc!E4:E100,"&gt;=6")</f>
        <v/>
      </c>
    </row>
    <row r="9">
      <c r="A9" t="inlineStr">
        <is>
          <t>売れ筋商品数 (月販 50 以上)</t>
        </is>
      </c>
      <c r="B9" s="3">
        <f>COUNTIF(Input!E4:E100,"&gt;=50")</f>
        <v/>
      </c>
    </row>
    <row r="10">
      <c r="A10" t="inlineStr">
        <is>
          <t>最大在庫金額</t>
        </is>
      </c>
      <c r="B10" s="3">
        <f>MAX(Calc!C4:C100)</f>
        <v/>
      </c>
    </row>
    <row r="11">
      <c r="A11" t="inlineStr">
        <is>
          <t>最小回転月数</t>
        </is>
      </c>
      <c r="B11" s="4">
        <f>MIN(Calc!E4:E100)</f>
        <v/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2026-05-14T07:34:19Z</dcterms:created>
  <dcterms:modified xsi:type="dcterms:W3CDTF">2026-05-14T07:34:19Z</dcterms:modified>
</cp:coreProperties>
</file>